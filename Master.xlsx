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lang24\sciebo\Dissertation ab Jan 2023\Manuskripte\03_ALAN COOPER 2025\Dateien Einreichung Environmental Pollution\"/>
    </mc:Choice>
  </mc:AlternateContent>
  <xr:revisionPtr revIDLastSave="0" documentId="13_ncr:1_{62603767-D3F8-46F7-8740-9A665A1E6D4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READ ME" sheetId="2" r:id="rId1"/>
    <sheet name="data" sheetId="1" r:id="rId2"/>
  </sheets>
  <definedNames>
    <definedName name="_xlnm._FilterDatabase" localSheetId="1" hidden="1">data!$A$1:$CU$145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43" i="1" l="1"/>
  <c r="Z140" i="1"/>
  <c r="Z138" i="1"/>
  <c r="Z135" i="1"/>
  <c r="Z134" i="1"/>
  <c r="Z131" i="1"/>
  <c r="Z130" i="1"/>
  <c r="Z129" i="1"/>
  <c r="Z128" i="1"/>
  <c r="Z126" i="1"/>
  <c r="Z125" i="1"/>
  <c r="Z124" i="1"/>
  <c r="Z123" i="1"/>
  <c r="Z121" i="1"/>
  <c r="Z118" i="1"/>
  <c r="Z116" i="1"/>
  <c r="Z115" i="1"/>
  <c r="Z112" i="1"/>
  <c r="Z111" i="1"/>
  <c r="Z108" i="1"/>
  <c r="Z106" i="1"/>
  <c r="Z105" i="1"/>
  <c r="Z102" i="1"/>
  <c r="Z99" i="1"/>
  <c r="Z97" i="1"/>
  <c r="Z95" i="1"/>
  <c r="Z94" i="1"/>
  <c r="Z91" i="1"/>
  <c r="Z89" i="1"/>
  <c r="Z86" i="1"/>
  <c r="Z78" i="1"/>
  <c r="Z77" i="1"/>
  <c r="Z76" i="1"/>
  <c r="Z75" i="1"/>
  <c r="Z74" i="1"/>
  <c r="Z73" i="1"/>
  <c r="Z71" i="1"/>
  <c r="Z70" i="1"/>
  <c r="Z67" i="1"/>
  <c r="Z66" i="1"/>
  <c r="Z64" i="1"/>
  <c r="Z61" i="1"/>
  <c r="Z60" i="1"/>
  <c r="Z59" i="1"/>
  <c r="Z58" i="1"/>
  <c r="Z55" i="1"/>
  <c r="Z54" i="1"/>
  <c r="Z52" i="1"/>
  <c r="Z51" i="1"/>
  <c r="Z49" i="1"/>
  <c r="Z47" i="1"/>
  <c r="Z46" i="1"/>
  <c r="Z44" i="1"/>
  <c r="Z41" i="1"/>
  <c r="Z40" i="1"/>
  <c r="Z39" i="1"/>
  <c r="Z36" i="1"/>
  <c r="Z35" i="1"/>
  <c r="Z33" i="1"/>
  <c r="Z32" i="1"/>
  <c r="Z30" i="1"/>
  <c r="Z29" i="1"/>
  <c r="Z27" i="1"/>
  <c r="Z26" i="1"/>
  <c r="Z25" i="1"/>
  <c r="Z24" i="1"/>
  <c r="Z20" i="1"/>
  <c r="Z17" i="1"/>
  <c r="Z13" i="1"/>
  <c r="Z10" i="1"/>
  <c r="Z9" i="1"/>
  <c r="Z8" i="1"/>
  <c r="Z5" i="1"/>
  <c r="Z3" i="1"/>
  <c r="E3" i="1" l="1"/>
  <c r="E4" i="1"/>
  <c r="E5" i="1"/>
  <c r="E8" i="1"/>
  <c r="E9" i="1"/>
  <c r="E10" i="1"/>
  <c r="E12" i="1"/>
  <c r="E13" i="1"/>
  <c r="E17" i="1"/>
  <c r="E20" i="1"/>
  <c r="E22" i="1"/>
  <c r="E24" i="1"/>
  <c r="E25" i="1"/>
  <c r="E26" i="1"/>
  <c r="E27" i="1"/>
  <c r="E29" i="1"/>
  <c r="E30" i="1"/>
  <c r="E31" i="1"/>
  <c r="E32" i="1"/>
  <c r="E33" i="1"/>
  <c r="E34" i="1"/>
  <c r="E35" i="1"/>
  <c r="E36" i="1"/>
  <c r="E39" i="1"/>
  <c r="E40" i="1"/>
  <c r="E41" i="1"/>
  <c r="E44" i="1"/>
  <c r="E46" i="1"/>
  <c r="E47" i="1"/>
  <c r="E49" i="1"/>
  <c r="E51" i="1"/>
  <c r="E52" i="1"/>
  <c r="E54" i="1"/>
  <c r="E55" i="1"/>
  <c r="E56" i="1"/>
  <c r="E57" i="1"/>
  <c r="E58" i="1"/>
  <c r="E59" i="1"/>
  <c r="E60" i="1"/>
  <c r="E61" i="1"/>
  <c r="E64" i="1"/>
  <c r="E66" i="1"/>
  <c r="E67" i="1"/>
  <c r="E70" i="1"/>
  <c r="E71" i="1"/>
  <c r="E73" i="1"/>
  <c r="E74" i="1"/>
  <c r="E75" i="1"/>
  <c r="E76" i="1"/>
  <c r="E77" i="1"/>
  <c r="E78" i="1"/>
  <c r="E79" i="1"/>
  <c r="E81" i="1"/>
  <c r="E82" i="1"/>
  <c r="E83" i="1"/>
  <c r="E86" i="1"/>
  <c r="E88" i="1"/>
  <c r="E89" i="1"/>
  <c r="E91" i="1"/>
  <c r="E94" i="1"/>
  <c r="E95" i="1"/>
  <c r="E96" i="1"/>
  <c r="E97" i="1"/>
  <c r="E98" i="1"/>
  <c r="E99" i="1"/>
  <c r="E102" i="1"/>
  <c r="E104" i="1"/>
  <c r="E105" i="1"/>
  <c r="E106" i="1"/>
  <c r="E108" i="1"/>
  <c r="E109" i="1"/>
  <c r="E111" i="1"/>
  <c r="E112" i="1"/>
  <c r="E113" i="1"/>
  <c r="E115" i="1"/>
  <c r="E116" i="1"/>
  <c r="E117" i="1"/>
  <c r="E118" i="1"/>
  <c r="E121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0" i="1"/>
  <c r="E143" i="1"/>
  <c r="E144" i="1"/>
  <c r="CU128" i="1" l="1"/>
  <c r="CU95" i="1"/>
  <c r="CR95" i="1"/>
  <c r="CU36" i="1"/>
  <c r="CR36" i="1"/>
  <c r="CU32" i="1"/>
  <c r="CR32" i="1"/>
  <c r="CU76" i="1"/>
  <c r="CR76" i="1"/>
  <c r="CU124" i="1"/>
  <c r="CR124" i="1"/>
  <c r="CU30" i="1"/>
  <c r="CR30" i="1"/>
  <c r="CU129" i="1"/>
  <c r="CR129" i="1"/>
  <c r="CU91" i="1"/>
  <c r="CR91" i="1"/>
  <c r="CU60" i="1"/>
  <c r="CR60" i="1"/>
  <c r="CU86" i="1"/>
  <c r="CR86" i="1"/>
  <c r="CU41" i="1"/>
  <c r="CR41" i="1"/>
  <c r="CU25" i="1"/>
  <c r="CR25" i="1"/>
  <c r="CR134" i="1"/>
  <c r="CU77" i="1"/>
  <c r="CR77" i="1"/>
  <c r="CU61" i="1"/>
  <c r="CR61" i="1"/>
  <c r="CU52" i="1"/>
  <c r="CR52" i="1"/>
  <c r="CU35" i="1"/>
  <c r="CR35" i="1"/>
  <c r="CU115" i="1"/>
  <c r="CR115" i="1"/>
  <c r="CU112" i="1"/>
  <c r="CR112" i="1"/>
  <c r="CU99" i="1"/>
  <c r="CR99" i="1"/>
  <c r="CU130" i="1"/>
  <c r="CR130" i="1"/>
  <c r="CU118" i="1"/>
  <c r="CR118" i="1"/>
  <c r="CU39" i="1"/>
  <c r="CR39" i="1"/>
  <c r="CU33" i="1"/>
  <c r="CR33" i="1"/>
  <c r="CU27" i="1"/>
  <c r="CR27" i="1"/>
  <c r="CU13" i="1"/>
  <c r="CR13" i="1"/>
  <c r="CU108" i="1"/>
  <c r="CR108" i="1"/>
  <c r="CR105" i="1"/>
  <c r="CU135" i="1"/>
  <c r="CR135" i="1"/>
  <c r="CU121" i="1"/>
  <c r="CR121" i="1"/>
  <c r="CU29" i="1"/>
  <c r="CR29" i="1"/>
  <c r="CU111" i="1"/>
  <c r="CR111" i="1"/>
  <c r="CU75" i="1"/>
  <c r="CR75" i="1"/>
  <c r="CU20" i="1"/>
  <c r="CR20" i="1"/>
  <c r="CU54" i="1"/>
  <c r="CR54" i="1"/>
  <c r="CU131" i="1"/>
  <c r="CU138" i="1"/>
  <c r="CU59" i="1"/>
  <c r="CU49" i="1"/>
  <c r="CU70" i="1"/>
  <c r="CU67" i="1"/>
  <c r="CU116" i="1"/>
  <c r="CU10" i="1"/>
  <c r="CU71" i="1"/>
  <c r="CU26" i="1"/>
  <c r="CU64" i="1"/>
  <c r="CU74" i="1"/>
  <c r="CU8" i="1"/>
  <c r="CU143" i="1"/>
  <c r="CU140" i="1"/>
  <c r="CU125" i="1"/>
  <c r="CU89" i="1"/>
  <c r="CU44" i="1"/>
  <c r="CU55" i="1"/>
  <c r="CU46" i="1"/>
  <c r="CU102" i="1"/>
  <c r="CU66" i="1"/>
  <c r="CU106" i="1"/>
  <c r="CU3" i="1"/>
  <c r="CU9" i="1"/>
  <c r="CU24" i="1"/>
  <c r="CU17" i="1"/>
  <c r="CU126" i="1"/>
  <c r="CU97" i="1"/>
  <c r="CU51" i="1"/>
  <c r="CU58" i="1"/>
  <c r="CU40" i="1"/>
  <c r="CU47" i="1"/>
  <c r="CU5" i="1"/>
  <c r="CR138" i="1"/>
  <c r="CR59" i="1"/>
  <c r="CR49" i="1"/>
  <c r="CR70" i="1"/>
  <c r="CR67" i="1"/>
  <c r="CR116" i="1"/>
  <c r="CR10" i="1"/>
  <c r="CR71" i="1"/>
  <c r="CR26" i="1"/>
  <c r="CR64" i="1"/>
  <c r="CR74" i="1"/>
  <c r="CR8" i="1"/>
  <c r="CR94" i="1"/>
  <c r="CR143" i="1"/>
  <c r="CR140" i="1"/>
  <c r="CR125" i="1"/>
  <c r="CR89" i="1"/>
  <c r="CR44" i="1"/>
  <c r="CR55" i="1"/>
  <c r="CR46" i="1"/>
  <c r="CR102" i="1"/>
  <c r="CR66" i="1"/>
  <c r="CR106" i="1"/>
  <c r="CR3" i="1"/>
  <c r="CR9" i="1"/>
  <c r="CR24" i="1"/>
  <c r="CR17" i="1"/>
  <c r="CR123" i="1"/>
  <c r="CR126" i="1"/>
  <c r="CR97" i="1"/>
  <c r="CR51" i="1"/>
  <c r="CR58" i="1"/>
  <c r="CR40" i="1"/>
  <c r="CR47" i="1"/>
  <c r="CR5" i="1"/>
  <c r="AR3" i="1"/>
  <c r="AR4" i="1"/>
  <c r="AR5" i="1"/>
  <c r="AR8" i="1"/>
  <c r="AR9" i="1"/>
  <c r="AR10" i="1"/>
  <c r="AR12" i="1"/>
  <c r="AR13" i="1"/>
  <c r="AR17" i="1"/>
  <c r="AR20" i="1"/>
  <c r="AR22" i="1"/>
  <c r="AR24" i="1"/>
  <c r="AR25" i="1"/>
  <c r="AR26" i="1"/>
  <c r="AR27" i="1"/>
  <c r="AR29" i="1"/>
  <c r="AR30" i="1"/>
  <c r="AR31" i="1"/>
  <c r="AR32" i="1"/>
  <c r="AR33" i="1"/>
  <c r="AR34" i="1"/>
  <c r="AR35" i="1"/>
  <c r="AR36" i="1"/>
  <c r="AR39" i="1"/>
  <c r="AR40" i="1"/>
  <c r="AR41" i="1"/>
  <c r="AR44" i="1"/>
  <c r="AR46" i="1"/>
  <c r="AR47" i="1"/>
  <c r="AR49" i="1"/>
  <c r="AR51" i="1"/>
  <c r="AR52" i="1"/>
  <c r="AR54" i="1"/>
  <c r="AR55" i="1"/>
  <c r="AR56" i="1"/>
  <c r="AR57" i="1"/>
  <c r="AR58" i="1"/>
  <c r="AR59" i="1"/>
  <c r="AR60" i="1"/>
  <c r="AR61" i="1"/>
  <c r="AR64" i="1"/>
  <c r="AR66" i="1"/>
  <c r="AR67" i="1"/>
  <c r="AR70" i="1"/>
  <c r="AR71" i="1"/>
  <c r="AR73" i="1"/>
  <c r="AR74" i="1"/>
  <c r="AR75" i="1"/>
  <c r="AR76" i="1"/>
  <c r="AR77" i="1"/>
  <c r="AR78" i="1"/>
  <c r="AR79" i="1"/>
  <c r="AR81" i="1"/>
  <c r="AR82" i="1"/>
  <c r="AR83" i="1"/>
  <c r="AR86" i="1"/>
  <c r="AR88" i="1"/>
  <c r="AR89" i="1"/>
  <c r="AR91" i="1"/>
  <c r="AR94" i="1"/>
  <c r="AR95" i="1"/>
  <c r="AR96" i="1"/>
  <c r="AR97" i="1"/>
  <c r="AR98" i="1"/>
  <c r="AR99" i="1"/>
  <c r="AR101" i="1"/>
  <c r="AR102" i="1"/>
  <c r="AR104" i="1"/>
  <c r="AR105" i="1"/>
  <c r="AR106" i="1"/>
  <c r="AR108" i="1"/>
  <c r="AR109" i="1"/>
  <c r="AR111" i="1"/>
  <c r="AR112" i="1"/>
  <c r="AR113" i="1"/>
  <c r="AR115" i="1"/>
  <c r="AR116" i="1"/>
  <c r="AR117" i="1"/>
  <c r="AR118" i="1"/>
  <c r="AR121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8" i="1"/>
  <c r="AR139" i="1"/>
  <c r="AR140" i="1"/>
  <c r="AR143" i="1"/>
  <c r="AR144" i="1"/>
  <c r="CN128" i="1"/>
  <c r="CN131" i="1"/>
  <c r="CN138" i="1"/>
  <c r="CN95" i="1"/>
  <c r="CN36" i="1"/>
  <c r="CN59" i="1"/>
  <c r="CN32" i="1"/>
  <c r="CN49" i="1"/>
  <c r="CN76" i="1"/>
  <c r="CN70" i="1"/>
  <c r="CN124" i="1"/>
  <c r="CN67" i="1"/>
  <c r="CN30" i="1"/>
  <c r="CN116" i="1"/>
  <c r="CN129" i="1"/>
  <c r="CN10" i="1"/>
  <c r="CN91" i="1"/>
  <c r="CN71" i="1"/>
  <c r="CN60" i="1"/>
  <c r="CN26" i="1"/>
  <c r="CN86" i="1"/>
  <c r="CN64" i="1"/>
  <c r="CN41" i="1"/>
  <c r="CN74" i="1"/>
  <c r="CN25" i="1"/>
  <c r="CN8" i="1"/>
  <c r="CN134" i="1"/>
  <c r="CN94" i="1"/>
  <c r="CN143" i="1"/>
  <c r="CN77" i="1"/>
  <c r="CN140" i="1"/>
  <c r="CN61" i="1"/>
  <c r="CN125" i="1"/>
  <c r="CN52" i="1"/>
  <c r="CN89" i="1"/>
  <c r="CN35" i="1"/>
  <c r="CN115" i="1"/>
  <c r="CN44" i="1"/>
  <c r="CN112" i="1"/>
  <c r="CN55" i="1"/>
  <c r="CN99" i="1"/>
  <c r="CN46" i="1"/>
  <c r="CN102" i="1"/>
  <c r="CN130" i="1"/>
  <c r="CN66" i="1"/>
  <c r="CN118" i="1"/>
  <c r="CN106" i="1"/>
  <c r="CN39" i="1"/>
  <c r="CN33" i="1"/>
  <c r="CN3" i="1"/>
  <c r="CN27" i="1"/>
  <c r="CN9" i="1"/>
  <c r="CN13" i="1"/>
  <c r="CN24" i="1"/>
  <c r="CN108" i="1"/>
  <c r="CN17" i="1"/>
  <c r="CN123" i="1"/>
  <c r="CN105" i="1"/>
  <c r="CN78" i="1"/>
  <c r="CN73" i="1"/>
  <c r="CN126" i="1"/>
  <c r="CN135" i="1"/>
  <c r="CN97" i="1"/>
  <c r="CN121" i="1"/>
  <c r="CN51" i="1"/>
  <c r="CN29" i="1"/>
  <c r="CN58" i="1"/>
  <c r="CN111" i="1"/>
  <c r="CN40" i="1"/>
  <c r="CN75" i="1"/>
  <c r="CN47" i="1"/>
  <c r="CN20" i="1"/>
  <c r="CN54" i="1"/>
  <c r="CN5" i="1"/>
  <c r="BS131" i="1" l="1"/>
  <c r="CB131" i="1"/>
  <c r="CB128" i="1"/>
  <c r="CB138" i="1"/>
  <c r="CB95" i="1"/>
  <c r="CB59" i="1"/>
  <c r="CB36" i="1"/>
  <c r="CB49" i="1"/>
  <c r="CB32" i="1"/>
  <c r="CB76" i="1"/>
  <c r="CB70" i="1"/>
  <c r="CB124" i="1"/>
  <c r="CB67" i="1"/>
  <c r="CB116" i="1"/>
  <c r="CB30" i="1"/>
  <c r="CB129" i="1"/>
  <c r="CB10" i="1"/>
  <c r="CB91" i="1"/>
  <c r="CB71" i="1"/>
  <c r="CB60" i="1"/>
  <c r="CB26" i="1"/>
  <c r="CB86" i="1"/>
  <c r="CB64" i="1"/>
  <c r="CB74" i="1"/>
  <c r="CB41" i="1"/>
  <c r="CB25" i="1"/>
  <c r="CB8" i="1"/>
  <c r="CB134" i="1"/>
  <c r="CB94" i="1"/>
  <c r="CB143" i="1"/>
  <c r="CB77" i="1"/>
  <c r="CB140" i="1"/>
  <c r="CB61" i="1"/>
  <c r="CB125" i="1"/>
  <c r="CB52" i="1"/>
  <c r="CB89" i="1"/>
  <c r="CB35" i="1"/>
  <c r="CB115" i="1"/>
  <c r="CB44" i="1"/>
  <c r="CB112" i="1"/>
  <c r="CB55" i="1"/>
  <c r="CB99" i="1"/>
  <c r="CB46" i="1"/>
  <c r="CB130" i="1"/>
  <c r="CB102" i="1"/>
  <c r="CB118" i="1"/>
  <c r="CB66" i="1"/>
  <c r="CB106" i="1"/>
  <c r="CB39" i="1"/>
  <c r="CB33" i="1"/>
  <c r="CB3" i="1"/>
  <c r="CB27" i="1"/>
  <c r="CB9" i="1"/>
  <c r="CB24" i="1"/>
  <c r="CB13" i="1"/>
  <c r="CB108" i="1"/>
  <c r="CB17" i="1"/>
  <c r="CB123" i="1"/>
  <c r="CB105" i="1"/>
  <c r="CB78" i="1"/>
  <c r="CB73" i="1"/>
  <c r="CB135" i="1"/>
  <c r="CB126" i="1"/>
  <c r="CB121" i="1"/>
  <c r="CB97" i="1"/>
  <c r="CB51" i="1"/>
  <c r="CB29" i="1"/>
  <c r="CB111" i="1"/>
  <c r="CB58" i="1"/>
  <c r="CB75" i="1"/>
  <c r="CB40" i="1"/>
  <c r="CB47" i="1"/>
  <c r="CB20" i="1"/>
  <c r="CB54" i="1"/>
  <c r="CB5" i="1"/>
  <c r="BY131" i="1"/>
  <c r="BY128" i="1"/>
  <c r="BY138" i="1"/>
  <c r="BY95" i="1"/>
  <c r="BY59" i="1"/>
  <c r="BY36" i="1"/>
  <c r="BY49" i="1"/>
  <c r="BY32" i="1"/>
  <c r="BY76" i="1"/>
  <c r="BY70" i="1"/>
  <c r="BY124" i="1"/>
  <c r="BY67" i="1"/>
  <c r="BY116" i="1"/>
  <c r="BY30" i="1"/>
  <c r="BY129" i="1"/>
  <c r="BY10" i="1"/>
  <c r="BY91" i="1"/>
  <c r="BY71" i="1"/>
  <c r="BY60" i="1"/>
  <c r="BY26" i="1"/>
  <c r="BY86" i="1"/>
  <c r="BY64" i="1"/>
  <c r="BY74" i="1"/>
  <c r="BY41" i="1"/>
  <c r="BY25" i="1"/>
  <c r="BY8" i="1"/>
  <c r="BY134" i="1"/>
  <c r="BY94" i="1"/>
  <c r="BY143" i="1"/>
  <c r="BY77" i="1"/>
  <c r="BY140" i="1"/>
  <c r="BY61" i="1"/>
  <c r="BY125" i="1"/>
  <c r="BY52" i="1"/>
  <c r="BY89" i="1"/>
  <c r="BY35" i="1"/>
  <c r="BY115" i="1"/>
  <c r="BY44" i="1"/>
  <c r="BY112" i="1"/>
  <c r="BY55" i="1"/>
  <c r="BY99" i="1"/>
  <c r="BY46" i="1"/>
  <c r="BY130" i="1"/>
  <c r="BY102" i="1"/>
  <c r="BY118" i="1"/>
  <c r="BY66" i="1"/>
  <c r="BY106" i="1"/>
  <c r="BY39" i="1"/>
  <c r="BY33" i="1"/>
  <c r="BY3" i="1"/>
  <c r="BY27" i="1"/>
  <c r="BY9" i="1"/>
  <c r="BY24" i="1"/>
  <c r="BY13" i="1"/>
  <c r="BY108" i="1"/>
  <c r="BY17" i="1"/>
  <c r="BY123" i="1"/>
  <c r="BY105" i="1"/>
  <c r="BY78" i="1"/>
  <c r="BY73" i="1"/>
  <c r="BY135" i="1"/>
  <c r="BY126" i="1"/>
  <c r="BY121" i="1"/>
  <c r="BY97" i="1"/>
  <c r="BY51" i="1"/>
  <c r="BY29" i="1"/>
  <c r="BY111" i="1"/>
  <c r="BY58" i="1"/>
  <c r="BY75" i="1"/>
  <c r="BY40" i="1"/>
  <c r="BY47" i="1"/>
  <c r="BY20" i="1"/>
  <c r="BY54" i="1"/>
  <c r="BY5" i="1"/>
  <c r="BV131" i="1"/>
  <c r="BV128" i="1"/>
  <c r="BV138" i="1"/>
  <c r="BV95" i="1"/>
  <c r="BV59" i="1"/>
  <c r="BV36" i="1"/>
  <c r="BV49" i="1"/>
  <c r="BV32" i="1"/>
  <c r="BV76" i="1"/>
  <c r="BV70" i="1"/>
  <c r="BV124" i="1"/>
  <c r="BV67" i="1"/>
  <c r="BV116" i="1"/>
  <c r="BV30" i="1"/>
  <c r="BV129" i="1"/>
  <c r="BV10" i="1"/>
  <c r="BV91" i="1"/>
  <c r="BV71" i="1"/>
  <c r="BV60" i="1"/>
  <c r="BV26" i="1"/>
  <c r="BV86" i="1"/>
  <c r="BV64" i="1"/>
  <c r="BV74" i="1"/>
  <c r="BV41" i="1"/>
  <c r="BV25" i="1"/>
  <c r="BV8" i="1"/>
  <c r="BV134" i="1"/>
  <c r="BV94" i="1"/>
  <c r="BV143" i="1"/>
  <c r="BV77" i="1"/>
  <c r="BV140" i="1"/>
  <c r="BV61" i="1"/>
  <c r="BV125" i="1"/>
  <c r="BV52" i="1"/>
  <c r="BV89" i="1"/>
  <c r="BV35" i="1"/>
  <c r="BV115" i="1"/>
  <c r="BV44" i="1"/>
  <c r="BV112" i="1"/>
  <c r="BV55" i="1"/>
  <c r="BV99" i="1"/>
  <c r="BV46" i="1"/>
  <c r="BV130" i="1"/>
  <c r="BV102" i="1"/>
  <c r="BV118" i="1"/>
  <c r="BV66" i="1"/>
  <c r="BV106" i="1"/>
  <c r="BV39" i="1"/>
  <c r="BV33" i="1"/>
  <c r="BV3" i="1"/>
  <c r="BV27" i="1"/>
  <c r="BV9" i="1"/>
  <c r="BV24" i="1"/>
  <c r="BV13" i="1"/>
  <c r="BV108" i="1"/>
  <c r="BV17" i="1"/>
  <c r="BV123" i="1"/>
  <c r="BV105" i="1"/>
  <c r="BV78" i="1"/>
  <c r="BV73" i="1"/>
  <c r="BV135" i="1"/>
  <c r="BV126" i="1"/>
  <c r="BV121" i="1"/>
  <c r="BV97" i="1"/>
  <c r="BV51" i="1"/>
  <c r="BV29" i="1"/>
  <c r="BV111" i="1"/>
  <c r="BV58" i="1"/>
  <c r="BV75" i="1"/>
  <c r="BV40" i="1"/>
  <c r="BV47" i="1"/>
  <c r="BV20" i="1"/>
  <c r="BV54" i="1"/>
  <c r="BV5" i="1"/>
  <c r="BS128" i="1"/>
  <c r="BS138" i="1"/>
  <c r="BS95" i="1"/>
  <c r="BS59" i="1"/>
  <c r="BS36" i="1"/>
  <c r="BS49" i="1"/>
  <c r="BS32" i="1"/>
  <c r="BS76" i="1"/>
  <c r="BS70" i="1"/>
  <c r="BS124" i="1"/>
  <c r="BS67" i="1"/>
  <c r="BS116" i="1"/>
  <c r="BS30" i="1"/>
  <c r="BS129" i="1"/>
  <c r="BS10" i="1"/>
  <c r="BS91" i="1"/>
  <c r="BS71" i="1"/>
  <c r="BS60" i="1"/>
  <c r="BS26" i="1"/>
  <c r="BS86" i="1"/>
  <c r="BS64" i="1"/>
  <c r="BS74" i="1"/>
  <c r="BS41" i="1"/>
  <c r="BS25" i="1"/>
  <c r="BS8" i="1"/>
  <c r="BS134" i="1"/>
  <c r="BS94" i="1"/>
  <c r="BS143" i="1"/>
  <c r="BS77" i="1"/>
  <c r="BS140" i="1"/>
  <c r="BS61" i="1"/>
  <c r="BS125" i="1"/>
  <c r="BS52" i="1"/>
  <c r="BS89" i="1"/>
  <c r="BS35" i="1"/>
  <c r="BS115" i="1"/>
  <c r="BS44" i="1"/>
  <c r="BS112" i="1"/>
  <c r="BS55" i="1"/>
  <c r="BS99" i="1"/>
  <c r="BS46" i="1"/>
  <c r="BS130" i="1"/>
  <c r="BS102" i="1"/>
  <c r="BS118" i="1"/>
  <c r="BS66" i="1"/>
  <c r="BS106" i="1"/>
  <c r="BS39" i="1"/>
  <c r="BS33" i="1"/>
  <c r="BS3" i="1"/>
  <c r="BS27" i="1"/>
  <c r="BS9" i="1"/>
  <c r="BS24" i="1"/>
  <c r="BS13" i="1"/>
  <c r="BS108" i="1"/>
  <c r="BS17" i="1"/>
  <c r="BS123" i="1"/>
  <c r="BS105" i="1"/>
  <c r="BS78" i="1"/>
  <c r="BS73" i="1"/>
  <c r="BS135" i="1"/>
  <c r="BS126" i="1"/>
  <c r="BS121" i="1"/>
  <c r="BS97" i="1"/>
  <c r="BS51" i="1"/>
  <c r="BS29" i="1"/>
  <c r="BS111" i="1"/>
  <c r="BS58" i="1"/>
  <c r="BS75" i="1"/>
  <c r="BS40" i="1"/>
  <c r="BS47" i="1"/>
  <c r="BS20" i="1"/>
  <c r="BS54" i="1"/>
  <c r="BS5" i="1"/>
  <c r="CC112" i="1" l="1"/>
  <c r="CC129" i="1"/>
  <c r="CC138" i="1"/>
  <c r="CC121" i="1"/>
  <c r="CC27" i="1"/>
  <c r="CC134" i="1"/>
  <c r="CC97" i="1"/>
  <c r="CC9" i="1"/>
  <c r="CC55" i="1"/>
  <c r="CC10" i="1"/>
  <c r="CC5" i="1"/>
  <c r="CC126" i="1"/>
  <c r="CC3" i="1"/>
  <c r="CC44" i="1"/>
  <c r="CC8" i="1"/>
  <c r="CC30" i="1"/>
  <c r="CC128" i="1"/>
  <c r="CC54" i="1"/>
  <c r="CC135" i="1"/>
  <c r="CC33" i="1"/>
  <c r="CC115" i="1"/>
  <c r="CC25" i="1"/>
  <c r="CC116" i="1"/>
  <c r="CC41" i="1"/>
  <c r="CC67" i="1"/>
  <c r="CC47" i="1"/>
  <c r="CC78" i="1"/>
  <c r="CC106" i="1"/>
  <c r="CC51" i="1"/>
  <c r="CC24" i="1"/>
  <c r="CC99" i="1"/>
  <c r="CC143" i="1"/>
  <c r="CC91" i="1"/>
  <c r="CC59" i="1"/>
  <c r="CC94" i="1"/>
  <c r="CC95" i="1"/>
  <c r="CC124" i="1"/>
  <c r="CC89" i="1"/>
  <c r="CC74" i="1"/>
  <c r="CC20" i="1"/>
  <c r="CC73" i="1"/>
  <c r="CC39" i="1"/>
  <c r="CC35" i="1"/>
  <c r="CC13" i="1"/>
  <c r="CC102" i="1"/>
  <c r="CC64" i="1"/>
  <c r="CC125" i="1"/>
  <c r="CC29" i="1"/>
  <c r="CC58" i="1"/>
  <c r="CC40" i="1"/>
  <c r="CC70" i="1"/>
  <c r="CC49" i="1"/>
  <c r="CC86" i="1"/>
  <c r="CC71" i="1"/>
  <c r="CC26" i="1"/>
  <c r="CC105" i="1"/>
  <c r="CC130" i="1"/>
  <c r="CC75" i="1"/>
  <c r="CC76" i="1"/>
  <c r="CC46" i="1"/>
  <c r="CC36" i="1"/>
  <c r="CC61" i="1"/>
  <c r="CC66" i="1"/>
  <c r="CC111" i="1"/>
  <c r="CC60" i="1"/>
  <c r="CC123" i="1"/>
  <c r="CC77" i="1"/>
  <c r="CC17" i="1"/>
  <c r="CC32" i="1"/>
  <c r="CC52" i="1"/>
  <c r="CC108" i="1"/>
  <c r="CC140" i="1"/>
  <c r="CC118" i="1"/>
  <c r="CC131" i="1"/>
  <c r="CE46" i="1" l="1"/>
  <c r="CO46" i="1" s="1"/>
  <c r="CE76" i="1"/>
  <c r="CO76" i="1" s="1"/>
  <c r="CE94" i="1"/>
  <c r="CO94" i="1" s="1"/>
  <c r="CE75" i="1"/>
  <c r="CO75" i="1" s="1"/>
  <c r="CE59" i="1"/>
  <c r="CO59" i="1" s="1"/>
  <c r="CE91" i="1"/>
  <c r="CO91" i="1" s="1"/>
  <c r="CE115" i="1"/>
  <c r="CO115" i="1" s="1"/>
  <c r="CE105" i="1"/>
  <c r="CO105" i="1" s="1"/>
  <c r="CE143" i="1"/>
  <c r="CO143" i="1" s="1"/>
  <c r="CE71" i="1"/>
  <c r="CO71" i="1" s="1"/>
  <c r="CE54" i="1"/>
  <c r="CO54" i="1" s="1"/>
  <c r="CE86" i="1"/>
  <c r="CO86" i="1" s="1"/>
  <c r="CE128" i="1"/>
  <c r="CO128" i="1" s="1"/>
  <c r="CE111" i="1"/>
  <c r="CO111" i="1" s="1"/>
  <c r="CE78" i="1"/>
  <c r="CO78" i="1" s="1"/>
  <c r="CE140" i="1"/>
  <c r="CO140" i="1" s="1"/>
  <c r="CE41" i="1"/>
  <c r="CO41" i="1" s="1"/>
  <c r="CE125" i="1"/>
  <c r="CO125" i="1" s="1"/>
  <c r="CE5" i="1"/>
  <c r="CO5" i="1" s="1"/>
  <c r="CE64" i="1"/>
  <c r="CO64" i="1" s="1"/>
  <c r="CE10" i="1"/>
  <c r="CO10" i="1" s="1"/>
  <c r="CE130" i="1"/>
  <c r="CO130" i="1" s="1"/>
  <c r="CE55" i="1"/>
  <c r="CO55" i="1" s="1"/>
  <c r="CE13" i="1"/>
  <c r="CO13" i="1" s="1"/>
  <c r="CE9" i="1"/>
  <c r="CO9" i="1" s="1"/>
  <c r="CE26" i="1"/>
  <c r="CO26" i="1" s="1"/>
  <c r="CE99" i="1"/>
  <c r="CO99" i="1" s="1"/>
  <c r="CE97" i="1"/>
  <c r="CO97" i="1" s="1"/>
  <c r="CE39" i="1"/>
  <c r="CO39" i="1" s="1"/>
  <c r="CE24" i="1"/>
  <c r="CO24" i="1" s="1"/>
  <c r="CE60" i="1"/>
  <c r="CO60" i="1" s="1"/>
  <c r="CE106" i="1"/>
  <c r="CO106" i="1" s="1"/>
  <c r="CE30" i="1"/>
  <c r="CO30" i="1" s="1"/>
  <c r="CE121" i="1"/>
  <c r="CO121" i="1" s="1"/>
  <c r="CE66" i="1"/>
  <c r="CO66" i="1" s="1"/>
  <c r="CE70" i="1"/>
  <c r="CO70" i="1" s="1"/>
  <c r="CE74" i="1"/>
  <c r="CO74" i="1" s="1"/>
  <c r="CE8" i="1"/>
  <c r="CO8" i="1" s="1"/>
  <c r="CE138" i="1"/>
  <c r="CO138" i="1" s="1"/>
  <c r="CE131" i="1"/>
  <c r="CO131" i="1" s="1"/>
  <c r="CE61" i="1"/>
  <c r="CO61" i="1" s="1"/>
  <c r="CE40" i="1"/>
  <c r="CO40" i="1" s="1"/>
  <c r="CE89" i="1"/>
  <c r="CO89" i="1" s="1"/>
  <c r="CE47" i="1"/>
  <c r="CO47" i="1" s="1"/>
  <c r="CE44" i="1"/>
  <c r="CO44" i="1" s="1"/>
  <c r="CE129" i="1"/>
  <c r="CO129" i="1" s="1"/>
  <c r="CE95" i="1"/>
  <c r="CO95" i="1" s="1"/>
  <c r="CE108" i="1"/>
  <c r="CO108" i="1" s="1"/>
  <c r="CE116" i="1"/>
  <c r="CO116" i="1" s="1"/>
  <c r="CE52" i="1"/>
  <c r="CO52" i="1" s="1"/>
  <c r="CE25" i="1"/>
  <c r="CO25" i="1" s="1"/>
  <c r="CE102" i="1"/>
  <c r="CO102" i="1" s="1"/>
  <c r="CE17" i="1"/>
  <c r="CO17" i="1" s="1"/>
  <c r="CE77" i="1"/>
  <c r="CO77" i="1" s="1"/>
  <c r="CE35" i="1"/>
  <c r="CO35" i="1" s="1"/>
  <c r="CE123" i="1"/>
  <c r="CO123" i="1" s="1"/>
  <c r="CE134" i="1"/>
  <c r="CO134" i="1" s="1"/>
  <c r="CE73" i="1"/>
  <c r="CO73" i="1" s="1"/>
  <c r="CE27" i="1"/>
  <c r="CO27" i="1" s="1"/>
  <c r="CE20" i="1"/>
  <c r="CO20" i="1" s="1"/>
  <c r="CE118" i="1"/>
  <c r="CO118" i="1" s="1"/>
  <c r="CE36" i="1"/>
  <c r="CO36" i="1" s="1"/>
  <c r="CE58" i="1"/>
  <c r="CO58" i="1" s="1"/>
  <c r="CE124" i="1"/>
  <c r="CO124" i="1" s="1"/>
  <c r="CE67" i="1"/>
  <c r="CO67" i="1" s="1"/>
  <c r="CE112" i="1"/>
  <c r="CO112" i="1" s="1"/>
  <c r="CD29" i="1"/>
  <c r="CE29" i="1" s="1"/>
  <c r="CO29" i="1" s="1"/>
  <c r="CD126" i="1"/>
  <c r="CE126" i="1" s="1"/>
  <c r="CO126" i="1" s="1"/>
  <c r="CD32" i="1"/>
  <c r="CE32" i="1" s="1"/>
  <c r="CO32" i="1" s="1"/>
  <c r="CD33" i="1"/>
  <c r="CE33" i="1" s="1"/>
  <c r="CO33" i="1" s="1"/>
  <c r="CD135" i="1"/>
  <c r="CE135" i="1" s="1"/>
  <c r="CO135" i="1" s="1"/>
  <c r="CD51" i="1"/>
  <c r="CE51" i="1" s="1"/>
  <c r="CO51" i="1" s="1"/>
  <c r="CD49" i="1"/>
  <c r="CE49" i="1" s="1"/>
  <c r="CO49" i="1" s="1"/>
  <c r="CD3" i="1"/>
  <c r="CE3" i="1" s="1"/>
  <c r="CO3" i="1" s="1"/>
  <c r="BI144" i="1" l="1"/>
  <c r="BI115" i="1"/>
  <c r="BI92" i="1"/>
  <c r="BI2" i="1"/>
  <c r="BI140" i="1"/>
  <c r="BI130" i="1"/>
  <c r="BI127" i="1"/>
  <c r="BI126" i="1"/>
  <c r="BI125" i="1"/>
  <c r="BI123" i="1"/>
  <c r="BI121" i="1"/>
  <c r="BI119" i="1"/>
  <c r="BI118" i="1"/>
  <c r="BI116" i="1"/>
  <c r="BI114" i="1"/>
  <c r="BI113" i="1"/>
  <c r="BI112" i="1"/>
  <c r="BI111" i="1"/>
  <c r="BI106" i="1"/>
  <c r="BI102" i="1"/>
  <c r="BI101" i="1"/>
  <c r="BI100" i="1"/>
  <c r="BI99" i="1"/>
  <c r="BI98" i="1"/>
  <c r="BI97" i="1"/>
  <c r="BI96" i="1"/>
  <c r="BI91" i="1"/>
  <c r="BI89" i="1"/>
  <c r="BI88" i="1"/>
  <c r="BI86" i="1"/>
  <c r="BI85" i="1"/>
  <c r="BI81" i="1"/>
  <c r="BI80" i="1"/>
  <c r="BI79" i="1"/>
  <c r="BI78" i="1"/>
  <c r="BI76" i="1"/>
  <c r="BI75" i="1"/>
  <c r="BI74" i="1"/>
  <c r="BI70" i="1"/>
  <c r="BI63" i="1"/>
  <c r="BI61" i="1"/>
  <c r="BI60" i="1"/>
  <c r="BI59" i="1"/>
  <c r="BI57" i="1"/>
  <c r="BI55" i="1"/>
  <c r="BI54" i="1"/>
  <c r="BI52" i="1"/>
  <c r="BI51" i="1"/>
  <c r="BI50" i="1"/>
  <c r="BI49" i="1"/>
  <c r="BI47" i="1"/>
  <c r="BI46" i="1"/>
  <c r="BI44" i="1"/>
  <c r="BI42" i="1"/>
  <c r="BI41" i="1"/>
  <c r="BI40" i="1"/>
  <c r="BI39" i="1"/>
  <c r="BI36" i="1"/>
  <c r="BI35" i="1"/>
  <c r="BI34" i="1"/>
  <c r="BI33" i="1"/>
  <c r="BI29" i="1"/>
  <c r="BI26" i="1"/>
  <c r="BI23" i="1"/>
  <c r="BI22" i="1"/>
  <c r="BI21" i="1"/>
  <c r="BI20" i="1"/>
  <c r="BI14" i="1"/>
  <c r="BI12" i="1"/>
  <c r="BI117" i="1"/>
  <c r="BI66" i="1"/>
  <c r="BI64" i="1"/>
  <c r="BI58" i="1"/>
  <c r="BI48" i="1"/>
  <c r="BI32" i="1"/>
  <c r="BI27" i="1"/>
  <c r="BI25" i="1"/>
  <c r="BI24" i="1"/>
  <c r="BI17" i="1"/>
  <c r="BI13" i="1"/>
  <c r="BI9" i="1"/>
  <c r="BI8" i="1"/>
  <c r="BI5" i="1"/>
  <c r="BI3" i="1"/>
  <c r="BI4" i="1"/>
  <c r="BI10" i="1"/>
  <c r="BI28" i="1"/>
  <c r="BI30" i="1"/>
  <c r="BI31" i="1"/>
  <c r="BI45" i="1"/>
  <c r="BI56" i="1"/>
  <c r="BI62" i="1"/>
  <c r="BI67" i="1"/>
  <c r="BI71" i="1"/>
  <c r="BI72" i="1"/>
  <c r="BI73" i="1"/>
  <c r="BI77" i="1"/>
  <c r="BI82" i="1"/>
  <c r="BI83" i="1"/>
  <c r="BI84" i="1"/>
  <c r="BI93" i="1"/>
  <c r="BI94" i="1"/>
  <c r="BI95" i="1"/>
  <c r="BI104" i="1"/>
  <c r="BI105" i="1"/>
  <c r="BI108" i="1"/>
  <c r="BI109" i="1"/>
  <c r="BI124" i="1"/>
  <c r="BI128" i="1"/>
  <c r="BI129" i="1"/>
  <c r="BI131" i="1"/>
  <c r="BI132" i="1"/>
  <c r="BI133" i="1"/>
  <c r="BI134" i="1"/>
  <c r="BI135" i="1"/>
  <c r="BI137" i="1"/>
  <c r="BI138" i="1"/>
  <c r="BI139" i="1"/>
  <c r="BI143" i="1"/>
  <c r="BI145" i="1"/>
  <c r="AZ136" i="1"/>
  <c r="AZ120" i="1"/>
  <c r="AZ110" i="1"/>
  <c r="AZ107" i="1"/>
  <c r="AZ90" i="1"/>
  <c r="AZ87" i="1"/>
  <c r="AZ69" i="1"/>
  <c r="AZ65" i="1"/>
  <c r="AZ43" i="1"/>
  <c r="AZ38" i="1"/>
  <c r="AZ37" i="1"/>
  <c r="AZ19" i="1"/>
  <c r="AZ18" i="1"/>
  <c r="AZ17" i="1"/>
  <c r="AZ15" i="1"/>
  <c r="AZ7" i="1"/>
  <c r="AZ6" i="1"/>
  <c r="AQ26" i="1" l="1"/>
  <c r="AQ27" i="1"/>
  <c r="AQ29" i="1"/>
  <c r="AQ30" i="1"/>
  <c r="AQ31" i="1"/>
  <c r="AQ32" i="1"/>
  <c r="AQ33" i="1"/>
  <c r="AQ34" i="1"/>
  <c r="AQ35" i="1"/>
  <c r="AQ36" i="1"/>
  <c r="AQ39" i="1"/>
  <c r="AQ40" i="1"/>
  <c r="AQ41" i="1"/>
  <c r="AQ44" i="1"/>
  <c r="AQ46" i="1"/>
  <c r="AQ47" i="1"/>
  <c r="AQ49" i="1"/>
  <c r="AQ51" i="1"/>
  <c r="AQ52" i="1"/>
  <c r="AQ54" i="1"/>
  <c r="AQ55" i="1"/>
  <c r="AQ56" i="1"/>
  <c r="AQ57" i="1"/>
  <c r="AQ58" i="1"/>
  <c r="AQ59" i="1"/>
  <c r="AQ60" i="1"/>
  <c r="AQ61" i="1"/>
  <c r="AQ64" i="1"/>
  <c r="AQ66" i="1"/>
  <c r="AQ67" i="1"/>
  <c r="AQ70" i="1"/>
  <c r="AQ71" i="1"/>
  <c r="AQ73" i="1"/>
  <c r="AQ74" i="1"/>
  <c r="AQ75" i="1"/>
  <c r="AQ76" i="1"/>
  <c r="AQ77" i="1"/>
  <c r="AQ78" i="1"/>
  <c r="AQ79" i="1"/>
  <c r="AQ81" i="1"/>
  <c r="AQ82" i="1"/>
  <c r="AQ83" i="1"/>
  <c r="AQ86" i="1"/>
  <c r="AQ88" i="1"/>
  <c r="AQ89" i="1"/>
  <c r="AQ91" i="1"/>
  <c r="AQ94" i="1"/>
  <c r="AQ95" i="1"/>
  <c r="AQ96" i="1"/>
  <c r="AQ97" i="1"/>
  <c r="AQ98" i="1"/>
  <c r="AQ99" i="1"/>
  <c r="AQ101" i="1"/>
  <c r="AQ102" i="1"/>
  <c r="AQ104" i="1"/>
  <c r="AQ105" i="1"/>
  <c r="AQ106" i="1"/>
  <c r="AQ108" i="1"/>
  <c r="AQ109" i="1"/>
  <c r="AQ111" i="1"/>
  <c r="AQ112" i="1"/>
  <c r="AQ113" i="1"/>
  <c r="AQ115" i="1"/>
  <c r="AQ116" i="1"/>
  <c r="AQ117" i="1"/>
  <c r="AQ118" i="1"/>
  <c r="AQ121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8" i="1"/>
  <c r="AQ139" i="1"/>
  <c r="AQ140" i="1"/>
  <c r="AQ143" i="1"/>
  <c r="AQ144" i="1"/>
  <c r="AQ4" i="1"/>
  <c r="AQ5" i="1"/>
  <c r="AQ8" i="1"/>
  <c r="AQ9" i="1"/>
  <c r="AQ10" i="1"/>
  <c r="AQ12" i="1"/>
  <c r="AQ13" i="1"/>
  <c r="AQ17" i="1"/>
  <c r="AQ20" i="1"/>
  <c r="AQ22" i="1"/>
  <c r="AQ24" i="1"/>
  <c r="AQ25" i="1"/>
  <c r="AQ3" i="1"/>
  <c r="AK4" i="1"/>
  <c r="AK5" i="1"/>
  <c r="AK8" i="1"/>
  <c r="AK9" i="1"/>
  <c r="AK10" i="1"/>
  <c r="AK12" i="1"/>
  <c r="AK13" i="1"/>
  <c r="AK14" i="1"/>
  <c r="AK17" i="1"/>
  <c r="AK20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9" i="1"/>
  <c r="AK40" i="1"/>
  <c r="AK41" i="1"/>
  <c r="AK44" i="1"/>
  <c r="AK45" i="1"/>
  <c r="AK46" i="1"/>
  <c r="AK47" i="1"/>
  <c r="AK49" i="1"/>
  <c r="AK50" i="1"/>
  <c r="AK51" i="1"/>
  <c r="AK52" i="1"/>
  <c r="AK54" i="1"/>
  <c r="AK55" i="1"/>
  <c r="AK56" i="1"/>
  <c r="AK57" i="1"/>
  <c r="AK58" i="1"/>
  <c r="AK59" i="1"/>
  <c r="AK60" i="1"/>
  <c r="AK61" i="1"/>
  <c r="AK62" i="1"/>
  <c r="AK63" i="1"/>
  <c r="AK64" i="1"/>
  <c r="AK66" i="1"/>
  <c r="AK67" i="1"/>
  <c r="AK70" i="1"/>
  <c r="AK71" i="1"/>
  <c r="AK72" i="1"/>
  <c r="AK73" i="1"/>
  <c r="AK74" i="1"/>
  <c r="AK75" i="1"/>
  <c r="AK76" i="1"/>
  <c r="AK77" i="1"/>
  <c r="AK78" i="1"/>
  <c r="AK80" i="1"/>
  <c r="AK82" i="1"/>
  <c r="AK83" i="1"/>
  <c r="AK85" i="1"/>
  <c r="AK86" i="1"/>
  <c r="AK88" i="1"/>
  <c r="AK89" i="1"/>
  <c r="AK91" i="1"/>
  <c r="AK94" i="1"/>
  <c r="AK95" i="1"/>
  <c r="AK96" i="1"/>
  <c r="AK97" i="1"/>
  <c r="AK98" i="1"/>
  <c r="AK99" i="1"/>
  <c r="AK100" i="1"/>
  <c r="AK101" i="1"/>
  <c r="AK102" i="1"/>
  <c r="AK104" i="1"/>
  <c r="AK105" i="1"/>
  <c r="AK106" i="1"/>
  <c r="AK108" i="1"/>
  <c r="AK109" i="1"/>
  <c r="AK111" i="1"/>
  <c r="AK112" i="1"/>
  <c r="AK113" i="1"/>
  <c r="AK115" i="1"/>
  <c r="AK116" i="1"/>
  <c r="AK117" i="1"/>
  <c r="AK118" i="1"/>
  <c r="AK119" i="1"/>
  <c r="AK121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7" i="1"/>
  <c r="AK138" i="1"/>
  <c r="AK139" i="1"/>
  <c r="AK140" i="1"/>
  <c r="AK143" i="1"/>
  <c r="AK144" i="1"/>
  <c r="AK145" i="1"/>
  <c r="AK3" i="1"/>
  <c r="AN26" i="1"/>
  <c r="AN27" i="1"/>
  <c r="AN28" i="1"/>
  <c r="AN29" i="1"/>
  <c r="AN30" i="1"/>
  <c r="AN31" i="1"/>
  <c r="AN32" i="1"/>
  <c r="AN33" i="1"/>
  <c r="AN34" i="1"/>
  <c r="AN35" i="1"/>
  <c r="AN36" i="1"/>
  <c r="AN39" i="1"/>
  <c r="AN40" i="1"/>
  <c r="AN41" i="1"/>
  <c r="AN44" i="1"/>
  <c r="AN45" i="1"/>
  <c r="AN46" i="1"/>
  <c r="AN47" i="1"/>
  <c r="AN49" i="1"/>
  <c r="AN50" i="1"/>
  <c r="AN51" i="1"/>
  <c r="AN52" i="1"/>
  <c r="AN54" i="1"/>
  <c r="AN55" i="1"/>
  <c r="AN56" i="1"/>
  <c r="AN57" i="1"/>
  <c r="AN58" i="1"/>
  <c r="AN59" i="1"/>
  <c r="AN60" i="1"/>
  <c r="AN61" i="1"/>
  <c r="AN62" i="1"/>
  <c r="AN63" i="1"/>
  <c r="AN64" i="1"/>
  <c r="AN66" i="1"/>
  <c r="AN67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5" i="1"/>
  <c r="AN86" i="1"/>
  <c r="AN88" i="1"/>
  <c r="AN89" i="1"/>
  <c r="AN91" i="1"/>
  <c r="AN94" i="1"/>
  <c r="AN95" i="1"/>
  <c r="AN96" i="1"/>
  <c r="AN97" i="1"/>
  <c r="AN98" i="1"/>
  <c r="AN99" i="1"/>
  <c r="AN100" i="1"/>
  <c r="AN101" i="1"/>
  <c r="AN102" i="1"/>
  <c r="AN104" i="1"/>
  <c r="AN105" i="1"/>
  <c r="AN106" i="1"/>
  <c r="AN108" i="1"/>
  <c r="AN109" i="1"/>
  <c r="AN111" i="1"/>
  <c r="AN112" i="1"/>
  <c r="AN113" i="1"/>
  <c r="AN115" i="1"/>
  <c r="AN116" i="1"/>
  <c r="AN117" i="1"/>
  <c r="AN118" i="1"/>
  <c r="AN119" i="1"/>
  <c r="AN121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7" i="1"/>
  <c r="AN138" i="1"/>
  <c r="AN139" i="1"/>
  <c r="AN140" i="1"/>
  <c r="AN143" i="1"/>
  <c r="AN144" i="1"/>
  <c r="AN145" i="1"/>
  <c r="AN4" i="1"/>
  <c r="AN5" i="1"/>
  <c r="AN8" i="1"/>
  <c r="AN9" i="1"/>
  <c r="AN10" i="1"/>
  <c r="AN12" i="1"/>
  <c r="AN13" i="1"/>
  <c r="AN14" i="1"/>
  <c r="AN17" i="1"/>
  <c r="AN20" i="1"/>
  <c r="AN22" i="1"/>
  <c r="AN23" i="1"/>
  <c r="AN24" i="1"/>
  <c r="AN25" i="1"/>
  <c r="AN3" i="1"/>
  <c r="Y4" i="1"/>
  <c r="Y5" i="1"/>
  <c r="Y8" i="1"/>
  <c r="Y9" i="1"/>
  <c r="Y10" i="1"/>
  <c r="Y12" i="1"/>
  <c r="Y13" i="1"/>
  <c r="Y14" i="1"/>
  <c r="Y17" i="1"/>
  <c r="Y20" i="1"/>
  <c r="Y22" i="1"/>
  <c r="Y23" i="1"/>
  <c r="Y24" i="1"/>
  <c r="Y25" i="1"/>
  <c r="Y26" i="1"/>
  <c r="Y27" i="1"/>
  <c r="Y29" i="1"/>
  <c r="Y30" i="1"/>
  <c r="Y31" i="1"/>
  <c r="Y32" i="1"/>
  <c r="Y33" i="1"/>
  <c r="Y34" i="1"/>
  <c r="Y35" i="1"/>
  <c r="Y36" i="1"/>
  <c r="Y39" i="1"/>
  <c r="Y40" i="1"/>
  <c r="Y41" i="1"/>
  <c r="Y44" i="1"/>
  <c r="Y46" i="1"/>
  <c r="Y47" i="1"/>
  <c r="Y49" i="1"/>
  <c r="Y50" i="1"/>
  <c r="Y51" i="1"/>
  <c r="Y52" i="1"/>
  <c r="Y54" i="1"/>
  <c r="Y55" i="1"/>
  <c r="Y56" i="1"/>
  <c r="Y57" i="1"/>
  <c r="Y58" i="1"/>
  <c r="Y59" i="1"/>
  <c r="Y60" i="1"/>
  <c r="Y61" i="1"/>
  <c r="Y64" i="1"/>
  <c r="Y66" i="1"/>
  <c r="Y67" i="1"/>
  <c r="Y70" i="1"/>
  <c r="Y71" i="1"/>
  <c r="Y73" i="1"/>
  <c r="Y74" i="1"/>
  <c r="Y75" i="1"/>
  <c r="Y76" i="1"/>
  <c r="Y77" i="1"/>
  <c r="Y78" i="1"/>
  <c r="Y79" i="1"/>
  <c r="Y81" i="1"/>
  <c r="Y82" i="1"/>
  <c r="Y83" i="1"/>
  <c r="Y86" i="1"/>
  <c r="Y88" i="1"/>
  <c r="Y89" i="1"/>
  <c r="Y91" i="1"/>
  <c r="Y94" i="1"/>
  <c r="Y95" i="1"/>
  <c r="Y96" i="1"/>
  <c r="Y97" i="1"/>
  <c r="Y98" i="1"/>
  <c r="Y99" i="1"/>
  <c r="Y101" i="1"/>
  <c r="Y102" i="1"/>
  <c r="Y104" i="1"/>
  <c r="Y105" i="1"/>
  <c r="Y106" i="1"/>
  <c r="Y108" i="1"/>
  <c r="Y109" i="1"/>
  <c r="Y111" i="1"/>
  <c r="Y112" i="1"/>
  <c r="Y113" i="1"/>
  <c r="Y115" i="1"/>
  <c r="Y116" i="1"/>
  <c r="Y117" i="1"/>
  <c r="Y118" i="1"/>
  <c r="Y121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8" i="1"/>
  <c r="Y139" i="1"/>
  <c r="Y140" i="1"/>
  <c r="Y143" i="1"/>
  <c r="Y144" i="1"/>
  <c r="Y3" i="1"/>
  <c r="W4" i="1"/>
  <c r="W5" i="1"/>
  <c r="W8" i="1"/>
  <c r="W9" i="1"/>
  <c r="W10" i="1"/>
  <c r="W12" i="1"/>
  <c r="W13" i="1"/>
  <c r="W14" i="1"/>
  <c r="W17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9" i="1"/>
  <c r="W40" i="1"/>
  <c r="W41" i="1"/>
  <c r="W44" i="1"/>
  <c r="W45" i="1"/>
  <c r="W46" i="1"/>
  <c r="W47" i="1"/>
  <c r="W49" i="1"/>
  <c r="W50" i="1"/>
  <c r="W51" i="1"/>
  <c r="W52" i="1"/>
  <c r="W54" i="1"/>
  <c r="W55" i="1"/>
  <c r="W56" i="1"/>
  <c r="W57" i="1"/>
  <c r="W58" i="1"/>
  <c r="W59" i="1"/>
  <c r="W60" i="1"/>
  <c r="W61" i="1"/>
  <c r="W62" i="1"/>
  <c r="W63" i="1"/>
  <c r="W64" i="1"/>
  <c r="W66" i="1"/>
  <c r="W67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5" i="1"/>
  <c r="W86" i="1"/>
  <c r="W88" i="1"/>
  <c r="W89" i="1"/>
  <c r="W91" i="1"/>
  <c r="W94" i="1"/>
  <c r="W95" i="1"/>
  <c r="W96" i="1"/>
  <c r="W97" i="1"/>
  <c r="W98" i="1"/>
  <c r="W99" i="1"/>
  <c r="W100" i="1"/>
  <c r="W101" i="1"/>
  <c r="W102" i="1"/>
  <c r="W104" i="1"/>
  <c r="W105" i="1"/>
  <c r="W106" i="1"/>
  <c r="W108" i="1"/>
  <c r="W109" i="1"/>
  <c r="W111" i="1"/>
  <c r="W112" i="1"/>
  <c r="W113" i="1"/>
  <c r="W115" i="1"/>
  <c r="W116" i="1"/>
  <c r="W117" i="1"/>
  <c r="W118" i="1"/>
  <c r="W119" i="1"/>
  <c r="W121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7" i="1"/>
  <c r="W138" i="1"/>
  <c r="W139" i="1"/>
  <c r="W140" i="1"/>
  <c r="W143" i="1"/>
  <c r="W144" i="1"/>
  <c r="W145" i="1"/>
  <c r="W3" i="1"/>
  <c r="AF4" i="1"/>
  <c r="AF5" i="1"/>
  <c r="AF8" i="1"/>
  <c r="AF9" i="1"/>
  <c r="AF10" i="1"/>
  <c r="AF12" i="1"/>
  <c r="AF13" i="1"/>
  <c r="AF17" i="1"/>
  <c r="AF20" i="1"/>
  <c r="AF22" i="1"/>
  <c r="AF24" i="1"/>
  <c r="AF25" i="1"/>
  <c r="AF26" i="1"/>
  <c r="AF27" i="1"/>
  <c r="AF29" i="1"/>
  <c r="AF30" i="1"/>
  <c r="AF31" i="1"/>
  <c r="AF32" i="1"/>
  <c r="AF33" i="1"/>
  <c r="AF34" i="1"/>
  <c r="AF35" i="1"/>
  <c r="AF36" i="1"/>
  <c r="AF39" i="1"/>
  <c r="AF40" i="1"/>
  <c r="AF41" i="1"/>
  <c r="AF44" i="1"/>
  <c r="AF46" i="1"/>
  <c r="AF47" i="1"/>
  <c r="AF49" i="1"/>
  <c r="AF51" i="1"/>
  <c r="AF52" i="1"/>
  <c r="AF54" i="1"/>
  <c r="AF55" i="1"/>
  <c r="AF56" i="1"/>
  <c r="AF57" i="1"/>
  <c r="AF58" i="1"/>
  <c r="AF59" i="1"/>
  <c r="AF60" i="1"/>
  <c r="AF61" i="1"/>
  <c r="AF64" i="1"/>
  <c r="AF66" i="1"/>
  <c r="AF67" i="1"/>
  <c r="AF70" i="1"/>
  <c r="AF71" i="1"/>
  <c r="AF73" i="1"/>
  <c r="AF74" i="1"/>
  <c r="AF75" i="1"/>
  <c r="AF76" i="1"/>
  <c r="AF77" i="1"/>
  <c r="AF78" i="1"/>
  <c r="AF79" i="1"/>
  <c r="AF83" i="1"/>
  <c r="AF86" i="1"/>
  <c r="AF88" i="1"/>
  <c r="AF89" i="1"/>
  <c r="AF91" i="1"/>
  <c r="AF94" i="1"/>
  <c r="AF95" i="1"/>
  <c r="AF96" i="1"/>
  <c r="AF97" i="1"/>
  <c r="AF98" i="1"/>
  <c r="AF99" i="1"/>
  <c r="AF102" i="1"/>
  <c r="AF104" i="1"/>
  <c r="AF105" i="1"/>
  <c r="AF106" i="1"/>
  <c r="AF108" i="1"/>
  <c r="AF109" i="1"/>
  <c r="AF111" i="1"/>
  <c r="AF112" i="1"/>
  <c r="AF113" i="1"/>
  <c r="AF115" i="1"/>
  <c r="AF116" i="1"/>
  <c r="AF117" i="1"/>
  <c r="AF118" i="1"/>
  <c r="AF121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8" i="1"/>
  <c r="AF140" i="1"/>
  <c r="AF143" i="1"/>
  <c r="AF144" i="1"/>
  <c r="AF3" i="1"/>
  <c r="AF2" i="1"/>
  <c r="AE145" i="1" l="1"/>
  <c r="AF145" i="1" s="1"/>
  <c r="AE142" i="1"/>
  <c r="AF142" i="1" s="1"/>
  <c r="AE141" i="1"/>
  <c r="AF141" i="1" s="1"/>
  <c r="AE139" i="1"/>
  <c r="AF139" i="1" s="1"/>
  <c r="AE137" i="1"/>
  <c r="AF137" i="1" s="1"/>
  <c r="AE136" i="1"/>
  <c r="AF136" i="1" s="1"/>
  <c r="AE122" i="1"/>
  <c r="AF122" i="1" s="1"/>
  <c r="AE120" i="1"/>
  <c r="AF120" i="1" s="1"/>
  <c r="AE119" i="1"/>
  <c r="AF119" i="1" s="1"/>
  <c r="AE114" i="1"/>
  <c r="AF114" i="1" s="1"/>
  <c r="AE110" i="1"/>
  <c r="AF110" i="1" s="1"/>
  <c r="AE107" i="1"/>
  <c r="AF107" i="1" s="1"/>
  <c r="AE103" i="1"/>
  <c r="AF103" i="1" s="1"/>
  <c r="AE101" i="1"/>
  <c r="AF101" i="1" s="1"/>
  <c r="AE100" i="1"/>
  <c r="AF100" i="1" s="1"/>
  <c r="AE93" i="1"/>
  <c r="AF93" i="1" s="1"/>
  <c r="AE92" i="1"/>
  <c r="AE90" i="1"/>
  <c r="AF90" i="1" s="1"/>
  <c r="AE87" i="1"/>
  <c r="AF87" i="1" s="1"/>
  <c r="AE85" i="1"/>
  <c r="AF85" i="1" s="1"/>
  <c r="AE84" i="1"/>
  <c r="AF84" i="1" s="1"/>
  <c r="AE82" i="1"/>
  <c r="AF82" i="1" s="1"/>
  <c r="AE81" i="1"/>
  <c r="AF81" i="1" s="1"/>
  <c r="AE80" i="1"/>
  <c r="AF80" i="1" s="1"/>
  <c r="AE72" i="1"/>
  <c r="AF72" i="1" s="1"/>
  <c r="AE69" i="1"/>
  <c r="AF69" i="1" s="1"/>
  <c r="AE68" i="1"/>
  <c r="AF68" i="1" s="1"/>
  <c r="AE65" i="1"/>
  <c r="AF65" i="1" s="1"/>
  <c r="AE63" i="1"/>
  <c r="AF63" i="1" s="1"/>
  <c r="AE62" i="1"/>
  <c r="AF62" i="1" s="1"/>
  <c r="AE53" i="1"/>
  <c r="AF53" i="1" s="1"/>
  <c r="AE50" i="1"/>
  <c r="AF50" i="1" s="1"/>
  <c r="AE48" i="1"/>
  <c r="AF48" i="1" s="1"/>
  <c r="AE45" i="1"/>
  <c r="AF45" i="1" s="1"/>
  <c r="AE43" i="1"/>
  <c r="AF43" i="1" s="1"/>
  <c r="AE42" i="1"/>
  <c r="AF42" i="1" s="1"/>
  <c r="AE38" i="1"/>
  <c r="AF38" i="1" s="1"/>
  <c r="AE37" i="1"/>
  <c r="AF37" i="1" s="1"/>
  <c r="AE28" i="1"/>
  <c r="AF28" i="1" s="1"/>
  <c r="AE23" i="1"/>
  <c r="AF23" i="1" s="1"/>
  <c r="AE21" i="1"/>
  <c r="AF21" i="1" s="1"/>
  <c r="AE19" i="1"/>
  <c r="AF19" i="1" s="1"/>
  <c r="AE18" i="1"/>
  <c r="AF18" i="1" s="1"/>
  <c r="AE16" i="1"/>
  <c r="AF16" i="1" s="1"/>
  <c r="AE15" i="1"/>
  <c r="AF15" i="1" s="1"/>
  <c r="AE14" i="1"/>
  <c r="AF14" i="1" s="1"/>
  <c r="AE11" i="1"/>
  <c r="AF11" i="1" s="1"/>
  <c r="AE7" i="1"/>
  <c r="AF7" i="1" s="1"/>
  <c r="AE6" i="1"/>
  <c r="AF6" i="1" s="1"/>
  <c r="AZ145" i="1" l="1"/>
  <c r="AV145" i="1"/>
  <c r="U145" i="1"/>
  <c r="F145" i="1"/>
  <c r="G145" i="1" s="1"/>
  <c r="AZ144" i="1"/>
  <c r="AV144" i="1"/>
  <c r="U144" i="1"/>
  <c r="F144" i="1"/>
  <c r="G144" i="1" s="1"/>
  <c r="AZ143" i="1"/>
  <c r="AV143" i="1"/>
  <c r="U143" i="1"/>
  <c r="F143" i="1"/>
  <c r="G143" i="1" s="1"/>
  <c r="AZ142" i="1"/>
  <c r="AV142" i="1"/>
  <c r="U142" i="1"/>
  <c r="F142" i="1"/>
  <c r="G142" i="1" s="1"/>
  <c r="AZ141" i="1"/>
  <c r="AV141" i="1"/>
  <c r="U141" i="1"/>
  <c r="F141" i="1"/>
  <c r="G141" i="1" s="1"/>
  <c r="AZ140" i="1"/>
  <c r="AV140" i="1"/>
  <c r="U140" i="1"/>
  <c r="F140" i="1"/>
  <c r="G140" i="1" s="1"/>
  <c r="AZ139" i="1"/>
  <c r="AV139" i="1"/>
  <c r="U139" i="1"/>
  <c r="F139" i="1"/>
  <c r="G139" i="1" s="1"/>
  <c r="AZ138" i="1"/>
  <c r="AV138" i="1"/>
  <c r="U138" i="1"/>
  <c r="F138" i="1"/>
  <c r="G138" i="1" s="1"/>
  <c r="AZ137" i="1"/>
  <c r="AV137" i="1"/>
  <c r="U137" i="1"/>
  <c r="F137" i="1"/>
  <c r="G137" i="1" s="1"/>
  <c r="AV136" i="1"/>
  <c r="U136" i="1"/>
  <c r="F136" i="1"/>
  <c r="G136" i="1" s="1"/>
  <c r="AZ135" i="1"/>
  <c r="AV135" i="1"/>
  <c r="U135" i="1"/>
  <c r="F135" i="1"/>
  <c r="G135" i="1" s="1"/>
  <c r="AZ134" i="1"/>
  <c r="AV134" i="1"/>
  <c r="U134" i="1"/>
  <c r="F134" i="1"/>
  <c r="G134" i="1" s="1"/>
  <c r="AZ133" i="1"/>
  <c r="AV133" i="1"/>
  <c r="U133" i="1"/>
  <c r="F133" i="1"/>
  <c r="G133" i="1" s="1"/>
  <c r="AZ132" i="1"/>
  <c r="AV132" i="1"/>
  <c r="U132" i="1"/>
  <c r="F132" i="1"/>
  <c r="G132" i="1" s="1"/>
  <c r="AZ131" i="1"/>
  <c r="AV131" i="1"/>
  <c r="U131" i="1"/>
  <c r="F131" i="1"/>
  <c r="G131" i="1" s="1"/>
  <c r="AZ130" i="1"/>
  <c r="AV130" i="1"/>
  <c r="U130" i="1"/>
  <c r="F130" i="1"/>
  <c r="G130" i="1" s="1"/>
  <c r="AZ129" i="1"/>
  <c r="AV129" i="1"/>
  <c r="U129" i="1"/>
  <c r="F129" i="1"/>
  <c r="G129" i="1" s="1"/>
  <c r="AZ128" i="1"/>
  <c r="AV128" i="1"/>
  <c r="U128" i="1"/>
  <c r="F128" i="1"/>
  <c r="G128" i="1" s="1"/>
  <c r="AZ127" i="1"/>
  <c r="AV127" i="1"/>
  <c r="U127" i="1"/>
  <c r="F127" i="1"/>
  <c r="G127" i="1" s="1"/>
  <c r="AZ126" i="1"/>
  <c r="AV126" i="1"/>
  <c r="U126" i="1"/>
  <c r="F126" i="1"/>
  <c r="G126" i="1" s="1"/>
  <c r="AZ125" i="1"/>
  <c r="AV125" i="1"/>
  <c r="U125" i="1"/>
  <c r="F125" i="1"/>
  <c r="G125" i="1" s="1"/>
  <c r="AZ124" i="1"/>
  <c r="AV124" i="1"/>
  <c r="U124" i="1"/>
  <c r="F124" i="1"/>
  <c r="G124" i="1" s="1"/>
  <c r="AZ123" i="1"/>
  <c r="AV123" i="1"/>
  <c r="U123" i="1"/>
  <c r="F123" i="1"/>
  <c r="G123" i="1" s="1"/>
  <c r="U122" i="1"/>
  <c r="F122" i="1"/>
  <c r="G122" i="1" s="1"/>
  <c r="AZ121" i="1"/>
  <c r="AV121" i="1"/>
  <c r="U121" i="1"/>
  <c r="F121" i="1"/>
  <c r="G121" i="1" s="1"/>
  <c r="AV120" i="1"/>
  <c r="U120" i="1"/>
  <c r="F120" i="1"/>
  <c r="G120" i="1" s="1"/>
  <c r="AZ119" i="1"/>
  <c r="AV119" i="1"/>
  <c r="U119" i="1"/>
  <c r="F119" i="1"/>
  <c r="G119" i="1" s="1"/>
  <c r="AZ118" i="1"/>
  <c r="AV118" i="1"/>
  <c r="U118" i="1"/>
  <c r="F118" i="1"/>
  <c r="G118" i="1" s="1"/>
  <c r="AZ117" i="1"/>
  <c r="AV117" i="1"/>
  <c r="U117" i="1"/>
  <c r="F117" i="1"/>
  <c r="G117" i="1" s="1"/>
  <c r="AZ116" i="1"/>
  <c r="AV116" i="1"/>
  <c r="U116" i="1"/>
  <c r="F116" i="1"/>
  <c r="G116" i="1" s="1"/>
  <c r="AZ115" i="1"/>
  <c r="AV115" i="1"/>
  <c r="U115" i="1"/>
  <c r="F115" i="1"/>
  <c r="G115" i="1" s="1"/>
  <c r="AZ114" i="1"/>
  <c r="AV114" i="1"/>
  <c r="U114" i="1"/>
  <c r="F114" i="1"/>
  <c r="G114" i="1" s="1"/>
  <c r="AZ113" i="1"/>
  <c r="AV113" i="1"/>
  <c r="U113" i="1"/>
  <c r="F113" i="1"/>
  <c r="G113" i="1" s="1"/>
  <c r="AZ112" i="1"/>
  <c r="AV112" i="1"/>
  <c r="U112" i="1"/>
  <c r="F112" i="1"/>
  <c r="G112" i="1" s="1"/>
  <c r="AZ111" i="1"/>
  <c r="AV111" i="1"/>
  <c r="U111" i="1"/>
  <c r="F111" i="1"/>
  <c r="G111" i="1" s="1"/>
  <c r="AV110" i="1"/>
  <c r="U110" i="1"/>
  <c r="F110" i="1"/>
  <c r="G110" i="1" s="1"/>
  <c r="AZ109" i="1"/>
  <c r="AV109" i="1"/>
  <c r="U109" i="1"/>
  <c r="F109" i="1"/>
  <c r="G109" i="1" s="1"/>
  <c r="AZ108" i="1"/>
  <c r="AV108" i="1"/>
  <c r="U108" i="1"/>
  <c r="F108" i="1"/>
  <c r="G108" i="1" s="1"/>
  <c r="AV107" i="1"/>
  <c r="U107" i="1"/>
  <c r="F107" i="1"/>
  <c r="G107" i="1" s="1"/>
  <c r="AZ106" i="1"/>
  <c r="AV106" i="1"/>
  <c r="U106" i="1"/>
  <c r="F106" i="1"/>
  <c r="G106" i="1" s="1"/>
  <c r="AZ105" i="1"/>
  <c r="AV105" i="1"/>
  <c r="U105" i="1"/>
  <c r="F105" i="1"/>
  <c r="G105" i="1" s="1"/>
  <c r="AZ104" i="1"/>
  <c r="AV104" i="1"/>
  <c r="U104" i="1"/>
  <c r="F104" i="1"/>
  <c r="G104" i="1" s="1"/>
  <c r="U103" i="1"/>
  <c r="F103" i="1"/>
  <c r="G103" i="1" s="1"/>
  <c r="AZ102" i="1"/>
  <c r="AV102" i="1"/>
  <c r="U102" i="1"/>
  <c r="F102" i="1"/>
  <c r="G102" i="1" s="1"/>
  <c r="AZ101" i="1"/>
  <c r="AV101" i="1"/>
  <c r="U101" i="1"/>
  <c r="F101" i="1"/>
  <c r="G101" i="1" s="1"/>
  <c r="AZ100" i="1"/>
  <c r="AV100" i="1"/>
  <c r="U100" i="1"/>
  <c r="F100" i="1"/>
  <c r="G100" i="1" s="1"/>
  <c r="AZ99" i="1"/>
  <c r="AV99" i="1"/>
  <c r="U99" i="1"/>
  <c r="F99" i="1"/>
  <c r="G99" i="1" s="1"/>
  <c r="AZ98" i="1"/>
  <c r="AV98" i="1"/>
  <c r="U98" i="1"/>
  <c r="F98" i="1"/>
  <c r="G98" i="1" s="1"/>
  <c r="AZ97" i="1"/>
  <c r="AV97" i="1"/>
  <c r="U97" i="1"/>
  <c r="F97" i="1"/>
  <c r="G97" i="1" s="1"/>
  <c r="AZ96" i="1"/>
  <c r="AV96" i="1"/>
  <c r="U96" i="1"/>
  <c r="F96" i="1"/>
  <c r="G96" i="1" s="1"/>
  <c r="AZ95" i="1"/>
  <c r="AV95" i="1"/>
  <c r="U95" i="1"/>
  <c r="F95" i="1"/>
  <c r="G95" i="1" s="1"/>
  <c r="AZ94" i="1"/>
  <c r="AV94" i="1"/>
  <c r="U94" i="1"/>
  <c r="F94" i="1"/>
  <c r="G94" i="1" s="1"/>
  <c r="AZ93" i="1"/>
  <c r="AV93" i="1"/>
  <c r="U93" i="1"/>
  <c r="F93" i="1"/>
  <c r="G93" i="1" s="1"/>
  <c r="AZ92" i="1"/>
  <c r="AV92" i="1"/>
  <c r="U92" i="1"/>
  <c r="F92" i="1"/>
  <c r="G92" i="1" s="1"/>
  <c r="AZ91" i="1"/>
  <c r="AV91" i="1"/>
  <c r="U91" i="1"/>
  <c r="F91" i="1"/>
  <c r="G91" i="1" s="1"/>
  <c r="AV90" i="1"/>
  <c r="U90" i="1"/>
  <c r="F90" i="1"/>
  <c r="G90" i="1" s="1"/>
  <c r="AZ89" i="1"/>
  <c r="AV89" i="1"/>
  <c r="U89" i="1"/>
  <c r="F89" i="1"/>
  <c r="G89" i="1" s="1"/>
  <c r="AZ88" i="1"/>
  <c r="AV88" i="1"/>
  <c r="U88" i="1"/>
  <c r="F88" i="1"/>
  <c r="G88" i="1" s="1"/>
  <c r="AV87" i="1"/>
  <c r="U87" i="1"/>
  <c r="F87" i="1"/>
  <c r="G87" i="1" s="1"/>
  <c r="AZ86" i="1"/>
  <c r="AV86" i="1"/>
  <c r="U86" i="1"/>
  <c r="F86" i="1"/>
  <c r="G86" i="1" s="1"/>
  <c r="AZ85" i="1"/>
  <c r="AV85" i="1"/>
  <c r="U85" i="1"/>
  <c r="F85" i="1"/>
  <c r="G85" i="1" s="1"/>
  <c r="AZ84" i="1"/>
  <c r="AV84" i="1"/>
  <c r="U84" i="1"/>
  <c r="F84" i="1"/>
  <c r="G84" i="1" s="1"/>
  <c r="AZ83" i="1"/>
  <c r="AV83" i="1"/>
  <c r="U83" i="1"/>
  <c r="F83" i="1"/>
  <c r="G83" i="1" s="1"/>
  <c r="AZ82" i="1"/>
  <c r="AV82" i="1"/>
  <c r="U82" i="1"/>
  <c r="F82" i="1"/>
  <c r="G82" i="1" s="1"/>
  <c r="AZ81" i="1"/>
  <c r="AV81" i="1"/>
  <c r="U81" i="1"/>
  <c r="F81" i="1"/>
  <c r="G81" i="1" s="1"/>
  <c r="AZ80" i="1"/>
  <c r="AV80" i="1"/>
  <c r="U80" i="1"/>
  <c r="F80" i="1"/>
  <c r="G80" i="1" s="1"/>
  <c r="AZ79" i="1"/>
  <c r="AV79" i="1"/>
  <c r="U79" i="1"/>
  <c r="F79" i="1"/>
  <c r="G79" i="1" s="1"/>
  <c r="AZ78" i="1"/>
  <c r="AV78" i="1"/>
  <c r="U78" i="1"/>
  <c r="F78" i="1"/>
  <c r="G78" i="1" s="1"/>
  <c r="AZ77" i="1"/>
  <c r="AV77" i="1"/>
  <c r="U77" i="1"/>
  <c r="F77" i="1"/>
  <c r="G77" i="1" s="1"/>
  <c r="AZ76" i="1"/>
  <c r="AV76" i="1"/>
  <c r="U76" i="1"/>
  <c r="F76" i="1"/>
  <c r="G76" i="1" s="1"/>
  <c r="AZ75" i="1"/>
  <c r="AV75" i="1"/>
  <c r="U75" i="1"/>
  <c r="F75" i="1"/>
  <c r="G75" i="1" s="1"/>
  <c r="AZ74" i="1"/>
  <c r="AV74" i="1"/>
  <c r="U74" i="1"/>
  <c r="F74" i="1"/>
  <c r="G74" i="1" s="1"/>
  <c r="AZ73" i="1"/>
  <c r="AV73" i="1"/>
  <c r="U73" i="1"/>
  <c r="F73" i="1"/>
  <c r="G73" i="1" s="1"/>
  <c r="AZ72" i="1"/>
  <c r="AV72" i="1"/>
  <c r="U72" i="1"/>
  <c r="F72" i="1"/>
  <c r="G72" i="1" s="1"/>
  <c r="AZ71" i="1"/>
  <c r="AV71" i="1"/>
  <c r="U71" i="1"/>
  <c r="F71" i="1"/>
  <c r="G71" i="1" s="1"/>
  <c r="AZ70" i="1"/>
  <c r="AV70" i="1"/>
  <c r="U70" i="1"/>
  <c r="F70" i="1"/>
  <c r="G70" i="1" s="1"/>
  <c r="AV69" i="1"/>
  <c r="U69" i="1"/>
  <c r="F69" i="1"/>
  <c r="G69" i="1" s="1"/>
  <c r="U68" i="1"/>
  <c r="F68" i="1"/>
  <c r="G68" i="1" s="1"/>
  <c r="AZ67" i="1"/>
  <c r="AV67" i="1"/>
  <c r="U67" i="1"/>
  <c r="F67" i="1"/>
  <c r="G67" i="1" s="1"/>
  <c r="AZ66" i="1"/>
  <c r="AV66" i="1"/>
  <c r="U66" i="1"/>
  <c r="F66" i="1"/>
  <c r="G66" i="1" s="1"/>
  <c r="AV65" i="1"/>
  <c r="U65" i="1"/>
  <c r="F65" i="1"/>
  <c r="G65" i="1" s="1"/>
  <c r="AZ64" i="1"/>
  <c r="AV64" i="1"/>
  <c r="U64" i="1"/>
  <c r="F64" i="1"/>
  <c r="G64" i="1" s="1"/>
  <c r="AZ63" i="1"/>
  <c r="AV63" i="1"/>
  <c r="U63" i="1"/>
  <c r="F63" i="1"/>
  <c r="G63" i="1" s="1"/>
  <c r="AZ62" i="1"/>
  <c r="AV62" i="1"/>
  <c r="U62" i="1"/>
  <c r="F62" i="1"/>
  <c r="G62" i="1" s="1"/>
  <c r="AZ61" i="1"/>
  <c r="AV61" i="1"/>
  <c r="U61" i="1"/>
  <c r="F61" i="1"/>
  <c r="G61" i="1" s="1"/>
  <c r="AZ60" i="1"/>
  <c r="AV60" i="1"/>
  <c r="U60" i="1"/>
  <c r="F60" i="1"/>
  <c r="G60" i="1" s="1"/>
  <c r="AZ59" i="1"/>
  <c r="AV59" i="1"/>
  <c r="U59" i="1"/>
  <c r="F59" i="1"/>
  <c r="G59" i="1" s="1"/>
  <c r="AZ58" i="1"/>
  <c r="AV58" i="1"/>
  <c r="U58" i="1"/>
  <c r="F58" i="1"/>
  <c r="G58" i="1" s="1"/>
  <c r="AZ57" i="1"/>
  <c r="AV57" i="1"/>
  <c r="U57" i="1"/>
  <c r="F57" i="1"/>
  <c r="G57" i="1" s="1"/>
  <c r="AZ56" i="1"/>
  <c r="AV56" i="1"/>
  <c r="U56" i="1"/>
  <c r="F56" i="1"/>
  <c r="G56" i="1" s="1"/>
  <c r="AZ55" i="1"/>
  <c r="AV55" i="1"/>
  <c r="U55" i="1"/>
  <c r="F55" i="1"/>
  <c r="G55" i="1" s="1"/>
  <c r="AZ54" i="1"/>
  <c r="AV54" i="1"/>
  <c r="U54" i="1"/>
  <c r="F54" i="1"/>
  <c r="G54" i="1" s="1"/>
  <c r="U53" i="1"/>
  <c r="F53" i="1"/>
  <c r="G53" i="1" s="1"/>
  <c r="AZ52" i="1"/>
  <c r="AV52" i="1"/>
  <c r="U52" i="1"/>
  <c r="F52" i="1"/>
  <c r="G52" i="1" s="1"/>
  <c r="AZ51" i="1"/>
  <c r="AV51" i="1"/>
  <c r="U51" i="1"/>
  <c r="F51" i="1"/>
  <c r="G51" i="1" s="1"/>
  <c r="AZ50" i="1"/>
  <c r="AV50" i="1"/>
  <c r="U50" i="1"/>
  <c r="F50" i="1"/>
  <c r="G50" i="1" s="1"/>
  <c r="AZ49" i="1"/>
  <c r="AV49" i="1"/>
  <c r="U49" i="1"/>
  <c r="F49" i="1"/>
  <c r="G49" i="1" s="1"/>
  <c r="AZ48" i="1"/>
  <c r="AV48" i="1"/>
  <c r="U48" i="1"/>
  <c r="F48" i="1"/>
  <c r="G48" i="1" s="1"/>
  <c r="AZ47" i="1"/>
  <c r="AV47" i="1"/>
  <c r="U47" i="1"/>
  <c r="F47" i="1"/>
  <c r="G47" i="1" s="1"/>
  <c r="AZ46" i="1"/>
  <c r="AV46" i="1"/>
  <c r="U46" i="1"/>
  <c r="F46" i="1"/>
  <c r="G46" i="1" s="1"/>
  <c r="AZ45" i="1"/>
  <c r="AV45" i="1"/>
  <c r="U45" i="1"/>
  <c r="F45" i="1"/>
  <c r="G45" i="1" s="1"/>
  <c r="AZ44" i="1"/>
  <c r="AV44" i="1"/>
  <c r="U44" i="1"/>
  <c r="F44" i="1"/>
  <c r="G44" i="1" s="1"/>
  <c r="AV43" i="1"/>
  <c r="U43" i="1"/>
  <c r="F43" i="1"/>
  <c r="G43" i="1" s="1"/>
  <c r="AZ42" i="1"/>
  <c r="AV42" i="1"/>
  <c r="U42" i="1"/>
  <c r="F42" i="1"/>
  <c r="G42" i="1" s="1"/>
  <c r="AZ41" i="1"/>
  <c r="AV41" i="1"/>
  <c r="U41" i="1"/>
  <c r="F41" i="1"/>
  <c r="G41" i="1" s="1"/>
  <c r="AZ40" i="1"/>
  <c r="AV40" i="1"/>
  <c r="U40" i="1"/>
  <c r="F40" i="1"/>
  <c r="G40" i="1" s="1"/>
  <c r="AZ39" i="1"/>
  <c r="AV39" i="1"/>
  <c r="U39" i="1"/>
  <c r="F39" i="1"/>
  <c r="G39" i="1" s="1"/>
  <c r="AV38" i="1"/>
  <c r="U38" i="1"/>
  <c r="F38" i="1"/>
  <c r="G38" i="1" s="1"/>
  <c r="AV37" i="1"/>
  <c r="U37" i="1"/>
  <c r="F37" i="1"/>
  <c r="G37" i="1" s="1"/>
  <c r="AZ36" i="1"/>
  <c r="AV36" i="1"/>
  <c r="U36" i="1"/>
  <c r="F36" i="1"/>
  <c r="G36" i="1" s="1"/>
  <c r="AZ35" i="1"/>
  <c r="AV35" i="1"/>
  <c r="U35" i="1"/>
  <c r="F35" i="1"/>
  <c r="G35" i="1" s="1"/>
  <c r="AZ34" i="1"/>
  <c r="AV34" i="1"/>
  <c r="U34" i="1"/>
  <c r="F34" i="1"/>
  <c r="G34" i="1" s="1"/>
  <c r="AZ33" i="1"/>
  <c r="AV33" i="1"/>
  <c r="U33" i="1"/>
  <c r="F33" i="1"/>
  <c r="G33" i="1" s="1"/>
  <c r="AZ32" i="1"/>
  <c r="AV32" i="1"/>
  <c r="U32" i="1"/>
  <c r="F32" i="1"/>
  <c r="G32" i="1" s="1"/>
  <c r="AZ31" i="1"/>
  <c r="AV31" i="1"/>
  <c r="U31" i="1"/>
  <c r="F31" i="1"/>
  <c r="G31" i="1" s="1"/>
  <c r="AZ30" i="1"/>
  <c r="AV30" i="1"/>
  <c r="U30" i="1"/>
  <c r="F30" i="1"/>
  <c r="G30" i="1" s="1"/>
  <c r="AZ29" i="1"/>
  <c r="AV29" i="1"/>
  <c r="U29" i="1"/>
  <c r="F29" i="1"/>
  <c r="G29" i="1" s="1"/>
  <c r="AZ28" i="1"/>
  <c r="AV28" i="1"/>
  <c r="U28" i="1"/>
  <c r="F28" i="1"/>
  <c r="G28" i="1" s="1"/>
  <c r="AZ27" i="1"/>
  <c r="AV27" i="1"/>
  <c r="U27" i="1"/>
  <c r="F27" i="1"/>
  <c r="G27" i="1" s="1"/>
  <c r="AZ26" i="1"/>
  <c r="AV26" i="1"/>
  <c r="U26" i="1"/>
  <c r="F26" i="1"/>
  <c r="G26" i="1" s="1"/>
  <c r="AZ25" i="1"/>
  <c r="AV25" i="1"/>
  <c r="U25" i="1"/>
  <c r="F25" i="1"/>
  <c r="G25" i="1" s="1"/>
  <c r="AZ24" i="1"/>
  <c r="AV24" i="1"/>
  <c r="U24" i="1"/>
  <c r="F24" i="1"/>
  <c r="G24" i="1" s="1"/>
  <c r="AZ23" i="1"/>
  <c r="AV23" i="1"/>
  <c r="U23" i="1"/>
  <c r="F23" i="1"/>
  <c r="G23" i="1" s="1"/>
  <c r="AZ22" i="1"/>
  <c r="AV22" i="1"/>
  <c r="U22" i="1"/>
  <c r="F22" i="1"/>
  <c r="G22" i="1" s="1"/>
  <c r="AZ21" i="1"/>
  <c r="AV21" i="1"/>
  <c r="U21" i="1"/>
  <c r="F21" i="1"/>
  <c r="G21" i="1" s="1"/>
  <c r="AZ20" i="1"/>
  <c r="AV20" i="1"/>
  <c r="U20" i="1"/>
  <c r="F20" i="1"/>
  <c r="G20" i="1" s="1"/>
  <c r="AV19" i="1"/>
  <c r="U19" i="1"/>
  <c r="F19" i="1"/>
  <c r="G19" i="1" s="1"/>
  <c r="AV18" i="1"/>
  <c r="U18" i="1"/>
  <c r="F18" i="1"/>
  <c r="G18" i="1" s="1"/>
  <c r="AV17" i="1"/>
  <c r="BJ17" i="1" s="1"/>
  <c r="U17" i="1"/>
  <c r="F17" i="1"/>
  <c r="G17" i="1" s="1"/>
  <c r="U16" i="1"/>
  <c r="F16" i="1"/>
  <c r="G16" i="1" s="1"/>
  <c r="AV15" i="1"/>
  <c r="U15" i="1"/>
  <c r="F15" i="1"/>
  <c r="G15" i="1" s="1"/>
  <c r="AZ14" i="1"/>
  <c r="AV14" i="1"/>
  <c r="U14" i="1"/>
  <c r="F14" i="1"/>
  <c r="G14" i="1" s="1"/>
  <c r="AZ13" i="1"/>
  <c r="AV13" i="1"/>
  <c r="U13" i="1"/>
  <c r="F13" i="1"/>
  <c r="G13" i="1" s="1"/>
  <c r="AZ12" i="1"/>
  <c r="AV12" i="1"/>
  <c r="U12" i="1"/>
  <c r="F12" i="1"/>
  <c r="G12" i="1" s="1"/>
  <c r="AV11" i="1"/>
  <c r="U11" i="1"/>
  <c r="F11" i="1"/>
  <c r="G11" i="1" s="1"/>
  <c r="AZ10" i="1"/>
  <c r="AV10" i="1"/>
  <c r="U10" i="1"/>
  <c r="F10" i="1"/>
  <c r="G10" i="1" s="1"/>
  <c r="AZ9" i="1"/>
  <c r="AV9" i="1"/>
  <c r="U9" i="1"/>
  <c r="F9" i="1"/>
  <c r="G9" i="1" s="1"/>
  <c r="AZ8" i="1"/>
  <c r="AV8" i="1"/>
  <c r="U8" i="1"/>
  <c r="F8" i="1"/>
  <c r="G8" i="1" s="1"/>
  <c r="AV7" i="1"/>
  <c r="U7" i="1"/>
  <c r="F7" i="1"/>
  <c r="G7" i="1" s="1"/>
  <c r="AV6" i="1"/>
  <c r="U6" i="1"/>
  <c r="F6" i="1"/>
  <c r="G6" i="1" s="1"/>
  <c r="AZ5" i="1"/>
  <c r="AV5" i="1"/>
  <c r="U5" i="1"/>
  <c r="F5" i="1"/>
  <c r="G5" i="1" s="1"/>
  <c r="AZ4" i="1"/>
  <c r="AV4" i="1"/>
  <c r="U4" i="1"/>
  <c r="F4" i="1"/>
  <c r="G4" i="1" s="1"/>
  <c r="AZ3" i="1"/>
  <c r="AV3" i="1"/>
  <c r="U3" i="1"/>
  <c r="F3" i="1"/>
  <c r="G3" i="1" s="1"/>
  <c r="AZ2" i="1"/>
  <c r="AV2" i="1"/>
  <c r="U2" i="1"/>
  <c r="F2" i="1"/>
  <c r="G2" i="1" s="1"/>
  <c r="BJ14" i="1" l="1"/>
  <c r="BJ40" i="1"/>
  <c r="BJ109" i="1"/>
  <c r="BJ21" i="1"/>
  <c r="BJ24" i="1"/>
  <c r="BJ27" i="1"/>
  <c r="BJ30" i="1"/>
  <c r="BJ33" i="1"/>
  <c r="BJ36" i="1"/>
  <c r="BJ121" i="1"/>
  <c r="BJ22" i="1"/>
  <c r="BJ25" i="1"/>
  <c r="BJ28" i="1"/>
  <c r="BJ31" i="1"/>
  <c r="BJ34" i="1"/>
  <c r="BJ8" i="1"/>
  <c r="BJ56" i="1"/>
  <c r="BJ59" i="1"/>
  <c r="BJ62" i="1"/>
  <c r="BJ72" i="1"/>
  <c r="BJ75" i="1"/>
  <c r="BJ78" i="1"/>
  <c r="BJ81" i="1"/>
  <c r="BJ84" i="1"/>
  <c r="BJ106" i="1"/>
  <c r="BJ44" i="1"/>
  <c r="BJ47" i="1"/>
  <c r="BJ50" i="1"/>
  <c r="BJ91" i="1"/>
  <c r="BJ94" i="1"/>
  <c r="BJ97" i="1"/>
  <c r="BJ100" i="1"/>
  <c r="BJ113" i="1"/>
  <c r="BJ116" i="1"/>
  <c r="BJ119" i="1"/>
  <c r="BJ138" i="1"/>
  <c r="BJ144" i="1"/>
  <c r="BJ5" i="1"/>
  <c r="BJ4" i="1"/>
  <c r="BJ46" i="1"/>
  <c r="BJ49" i="1"/>
  <c r="BJ52" i="1"/>
  <c r="BJ93" i="1"/>
  <c r="BJ96" i="1"/>
  <c r="BJ99" i="1"/>
  <c r="BJ102" i="1"/>
  <c r="BJ137" i="1"/>
  <c r="BJ140" i="1"/>
  <c r="BJ143" i="1"/>
  <c r="BJ3" i="1"/>
  <c r="BJ45" i="1"/>
  <c r="BJ48" i="1"/>
  <c r="BJ51" i="1"/>
  <c r="BJ92" i="1"/>
  <c r="BJ95" i="1"/>
  <c r="BJ98" i="1"/>
  <c r="BJ101" i="1"/>
  <c r="BJ139" i="1"/>
  <c r="BJ145" i="1"/>
  <c r="BJ9" i="1"/>
  <c r="BJ54" i="1"/>
  <c r="BJ57" i="1"/>
  <c r="BJ60" i="1"/>
  <c r="BJ63" i="1"/>
  <c r="BJ70" i="1"/>
  <c r="BJ73" i="1"/>
  <c r="BJ76" i="1"/>
  <c r="BJ79" i="1"/>
  <c r="BJ82" i="1"/>
  <c r="BJ85" i="1"/>
  <c r="BJ104" i="1"/>
  <c r="BJ10" i="1"/>
  <c r="BJ55" i="1"/>
  <c r="BJ58" i="1"/>
  <c r="BJ61" i="1"/>
  <c r="BJ64" i="1"/>
  <c r="BJ71" i="1"/>
  <c r="BJ74" i="1"/>
  <c r="BJ77" i="1"/>
  <c r="BJ80" i="1"/>
  <c r="BJ83" i="1"/>
  <c r="BJ86" i="1"/>
  <c r="BJ105" i="1"/>
  <c r="BJ112" i="1"/>
  <c r="BJ115" i="1"/>
  <c r="BJ118" i="1"/>
  <c r="BJ125" i="1"/>
  <c r="BJ128" i="1"/>
  <c r="BJ131" i="1"/>
  <c r="BJ134" i="1"/>
  <c r="BJ12" i="1"/>
  <c r="BJ41" i="1"/>
  <c r="BJ66" i="1"/>
  <c r="BJ88" i="1"/>
  <c r="BJ123" i="1"/>
  <c r="BJ126" i="1"/>
  <c r="BJ129" i="1"/>
  <c r="BJ132" i="1"/>
  <c r="BJ135" i="1"/>
  <c r="BJ20" i="1"/>
  <c r="BJ23" i="1"/>
  <c r="BJ26" i="1"/>
  <c r="BJ29" i="1"/>
  <c r="BJ32" i="1"/>
  <c r="BJ35" i="1"/>
  <c r="BJ111" i="1"/>
  <c r="BJ114" i="1"/>
  <c r="BJ117" i="1"/>
  <c r="BJ13" i="1"/>
  <c r="BJ39" i="1"/>
  <c r="BJ42" i="1"/>
  <c r="BJ67" i="1"/>
  <c r="BJ89" i="1"/>
  <c r="BJ108" i="1"/>
  <c r="BJ124" i="1"/>
  <c r="BJ127" i="1"/>
  <c r="BJ130" i="1"/>
  <c r="BJ133" i="1"/>
  <c r="B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tc={001B00EE-009E-4DCD-AF23-006200B10057}</author>
  </authors>
  <commentList>
    <comment ref="D144" authorId="0" shapeId="0" xr:uid="{001B00EE-009E-4DCD-AF23-006200B10057}">
      <text>
        <r>
          <rPr>
            <sz val="12"/>
            <color theme="1"/>
            <rFont val="Aptos Narrow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hatte Flackern am Vormittag vom 3.2.25, deshalb lieber von den Mating trials ausgeschlossen
</t>
        </r>
      </text>
    </comment>
  </commentList>
</comments>
</file>

<file path=xl/sharedStrings.xml><?xml version="1.0" encoding="utf-8"?>
<sst xmlns="http://schemas.openxmlformats.org/spreadsheetml/2006/main" count="4436" uniqueCount="288">
  <si>
    <t>ID</t>
  </si>
  <si>
    <t>sex</t>
  </si>
  <si>
    <t>mating_day</t>
  </si>
  <si>
    <t>female_partner</t>
  </si>
  <si>
    <t>male_partner</t>
  </si>
  <si>
    <t>sum_pre</t>
  </si>
  <si>
    <t>sum_per</t>
  </si>
  <si>
    <t>M0</t>
  </si>
  <si>
    <t>Ia</t>
  </si>
  <si>
    <t>C1</t>
  </si>
  <si>
    <t>m</t>
  </si>
  <si>
    <t>C31</t>
  </si>
  <si>
    <t>na</t>
  </si>
  <si>
    <t>I2</t>
  </si>
  <si>
    <t>I137</t>
  </si>
  <si>
    <t>A3</t>
  </si>
  <si>
    <t>A52</t>
  </si>
  <si>
    <t>A4</t>
  </si>
  <si>
    <t>M5</t>
  </si>
  <si>
    <t>I6</t>
  </si>
  <si>
    <t>C7</t>
  </si>
  <si>
    <t>C25</t>
  </si>
  <si>
    <t>I8</t>
  </si>
  <si>
    <t>I127</t>
  </si>
  <si>
    <t>M9</t>
  </si>
  <si>
    <t>A10</t>
  </si>
  <si>
    <t>C11</t>
  </si>
  <si>
    <t>f</t>
  </si>
  <si>
    <t>C22</t>
  </si>
  <si>
    <t>I12</t>
  </si>
  <si>
    <t>M13</t>
  </si>
  <si>
    <t>C14</t>
  </si>
  <si>
    <t>A15</t>
  </si>
  <si>
    <t>A106</t>
  </si>
  <si>
    <t>I16</t>
  </si>
  <si>
    <t>C17</t>
  </si>
  <si>
    <t>A18</t>
  </si>
  <si>
    <t>A45</t>
  </si>
  <si>
    <t>M19</t>
  </si>
  <si>
    <t>M20</t>
  </si>
  <si>
    <t>A21</t>
  </si>
  <si>
    <t>I23</t>
  </si>
  <si>
    <t>I24</t>
  </si>
  <si>
    <t>I58</t>
  </si>
  <si>
    <t>M26</t>
  </si>
  <si>
    <t>A27</t>
  </si>
  <si>
    <t>A49</t>
  </si>
  <si>
    <t>I28</t>
  </si>
  <si>
    <t>I114</t>
  </si>
  <si>
    <t>A29</t>
  </si>
  <si>
    <t>M30</t>
  </si>
  <si>
    <t>M47</t>
  </si>
  <si>
    <t>A32</t>
  </si>
  <si>
    <t>C33</t>
  </si>
  <si>
    <t>C87</t>
  </si>
  <si>
    <t>M34</t>
  </si>
  <si>
    <t>M57</t>
  </si>
  <si>
    <t>I35</t>
  </si>
  <si>
    <t>M36</t>
  </si>
  <si>
    <t>C37</t>
  </si>
  <si>
    <t>C104</t>
  </si>
  <si>
    <t>A38</t>
  </si>
  <si>
    <t>A73</t>
  </si>
  <si>
    <t>I39</t>
  </si>
  <si>
    <t>I72</t>
  </si>
  <si>
    <t>M40</t>
  </si>
  <si>
    <t>I41</t>
  </si>
  <si>
    <t>C42</t>
  </si>
  <si>
    <t>C113</t>
  </si>
  <si>
    <t>A43</t>
  </si>
  <si>
    <t>C44</t>
  </si>
  <si>
    <t>C97</t>
  </si>
  <si>
    <t>I46</t>
  </si>
  <si>
    <t>I48</t>
  </si>
  <si>
    <t>C50</t>
  </si>
  <si>
    <t>C123</t>
  </si>
  <si>
    <t>M51</t>
  </si>
  <si>
    <t>C53</t>
  </si>
  <si>
    <t>C110</t>
  </si>
  <si>
    <t>M54</t>
  </si>
  <si>
    <t>I55</t>
  </si>
  <si>
    <t>A56</t>
  </si>
  <si>
    <t>A109</t>
  </si>
  <si>
    <t>C59</t>
  </si>
  <si>
    <t>C138</t>
  </si>
  <si>
    <t>A60</t>
  </si>
  <si>
    <t>x</t>
  </si>
  <si>
    <t>C61</t>
  </si>
  <si>
    <t>I62</t>
  </si>
  <si>
    <t>I84</t>
  </si>
  <si>
    <t>M63</t>
  </si>
  <si>
    <t>C64</t>
  </si>
  <si>
    <t>C116</t>
  </si>
  <si>
    <t>I65</t>
  </si>
  <si>
    <t>I122</t>
  </si>
  <si>
    <t>M66</t>
  </si>
  <si>
    <t>A67</t>
  </si>
  <si>
    <t>M68</t>
  </si>
  <si>
    <t>M74</t>
  </si>
  <si>
    <t>I69</t>
  </si>
  <si>
    <t>I89</t>
  </si>
  <si>
    <t>C70</t>
  </si>
  <si>
    <t>A71</t>
  </si>
  <si>
    <t>A76</t>
  </si>
  <si>
    <t>C75</t>
  </si>
  <si>
    <t>C141</t>
  </si>
  <si>
    <t>C77</t>
  </si>
  <si>
    <t>I78</t>
  </si>
  <si>
    <t>M79</t>
  </si>
  <si>
    <t>M80</t>
  </si>
  <si>
    <t>C81</t>
  </si>
  <si>
    <t>A82</t>
  </si>
  <si>
    <t>I83</t>
  </si>
  <si>
    <t>M85</t>
  </si>
  <si>
    <t>A86</t>
  </si>
  <si>
    <t>M88</t>
  </si>
  <si>
    <t>A90</t>
  </si>
  <si>
    <t>C91</t>
  </si>
  <si>
    <t>C92</t>
  </si>
  <si>
    <t>C132</t>
  </si>
  <si>
    <t>M93</t>
  </si>
  <si>
    <t>I94</t>
  </si>
  <si>
    <t>A95</t>
  </si>
  <si>
    <t>A119</t>
  </si>
  <si>
    <t>M96</t>
  </si>
  <si>
    <t>I98</t>
  </si>
  <si>
    <t>A99</t>
  </si>
  <si>
    <t>C100</t>
  </si>
  <si>
    <t>C128</t>
  </si>
  <si>
    <t>I101</t>
  </si>
  <si>
    <t>M102</t>
  </si>
  <si>
    <t>A103</t>
  </si>
  <si>
    <t>A121</t>
  </si>
  <si>
    <t>I105</t>
  </si>
  <si>
    <t>M107</t>
  </si>
  <si>
    <t>M108</t>
  </si>
  <si>
    <t>I111</t>
  </si>
  <si>
    <t>M112</t>
  </si>
  <si>
    <t>A115</t>
  </si>
  <si>
    <t>M117</t>
  </si>
  <si>
    <t>I118</t>
  </si>
  <si>
    <t>M120</t>
  </si>
  <si>
    <t>A124</t>
  </si>
  <si>
    <t>A133</t>
  </si>
  <si>
    <t>C125</t>
  </si>
  <si>
    <t>M126</t>
  </si>
  <si>
    <t>M129</t>
  </si>
  <si>
    <t>A130</t>
  </si>
  <si>
    <t>I131</t>
  </si>
  <si>
    <t>I134</t>
  </si>
  <si>
    <t>M135</t>
  </si>
  <si>
    <t>M136</t>
  </si>
  <si>
    <t>A139</t>
  </si>
  <si>
    <t>M140</t>
  </si>
  <si>
    <t>A142</t>
  </si>
  <si>
    <t>I143</t>
  </si>
  <si>
    <t>no.</t>
  </si>
  <si>
    <t>treatment</t>
  </si>
  <si>
    <t>cohort</t>
  </si>
  <si>
    <t>hatch_start</t>
  </si>
  <si>
    <t>egg_laying_start</t>
  </si>
  <si>
    <t>egg_laying_end</t>
  </si>
  <si>
    <t>devtime_hatch</t>
  </si>
  <si>
    <t>death_date</t>
  </si>
  <si>
    <t>frozen_date</t>
  </si>
  <si>
    <t>censoring_during</t>
  </si>
  <si>
    <t>censoring_9.2.25</t>
  </si>
  <si>
    <t>days</t>
  </si>
  <si>
    <t>time_days</t>
  </si>
  <si>
    <t>status</t>
  </si>
  <si>
    <t>devtime_pupae</t>
  </si>
  <si>
    <t>pupation_date</t>
  </si>
  <si>
    <t>adult_eclosion_date</t>
  </si>
  <si>
    <t>devtime_adult</t>
  </si>
  <si>
    <t>hatch_end_start_exp</t>
  </si>
  <si>
    <t>date_weight_l</t>
  </si>
  <si>
    <t>mass_l</t>
  </si>
  <si>
    <t>scale_l</t>
  </si>
  <si>
    <t>shelf</t>
  </si>
  <si>
    <t>delta_lp</t>
  </si>
  <si>
    <t>mass_p</t>
  </si>
  <si>
    <t>scale_P</t>
  </si>
  <si>
    <t>date_weight_p</t>
  </si>
  <si>
    <t>mass_a</t>
  </si>
  <si>
    <t>scale_a</t>
  </si>
  <si>
    <t>date_weight_a</t>
  </si>
  <si>
    <t>pair_ID</t>
  </si>
  <si>
    <t>C_a_1</t>
  </si>
  <si>
    <t>I_a_1</t>
  </si>
  <si>
    <t>C_b_2</t>
  </si>
  <si>
    <t>C_b_3</t>
  </si>
  <si>
    <t>A_b_1</t>
  </si>
  <si>
    <t>A_b_2</t>
  </si>
  <si>
    <t>C_b_4</t>
  </si>
  <si>
    <t>A_b_3</t>
  </si>
  <si>
    <t>A_b_4</t>
  </si>
  <si>
    <t>C_b_5</t>
  </si>
  <si>
    <t>C_b_6</t>
  </si>
  <si>
    <t>A_c_5</t>
  </si>
  <si>
    <t>M_c_2</t>
  </si>
  <si>
    <t>C_c_7</t>
  </si>
  <si>
    <t>M_c_3</t>
  </si>
  <si>
    <t>I_c_2</t>
  </si>
  <si>
    <t>C_c_12</t>
  </si>
  <si>
    <t>C_c_10</t>
  </si>
  <si>
    <t>C_c_8</t>
  </si>
  <si>
    <t>C_c_11</t>
  </si>
  <si>
    <t>C_c_9</t>
  </si>
  <si>
    <t>I_c_3</t>
  </si>
  <si>
    <t>M_c_1</t>
  </si>
  <si>
    <t>A_c_6</t>
  </si>
  <si>
    <t>I_d_6</t>
  </si>
  <si>
    <t>A_d_9</t>
  </si>
  <si>
    <t>I_d_4</t>
  </si>
  <si>
    <t>I_d_5</t>
  </si>
  <si>
    <t>A_d_7</t>
  </si>
  <si>
    <t>A_d_8</t>
  </si>
  <si>
    <t>A_d_10</t>
  </si>
  <si>
    <t>C_e_13</t>
  </si>
  <si>
    <t>I_e_7</t>
  </si>
  <si>
    <t>I_e_8</t>
  </si>
  <si>
    <t>C_f_14</t>
  </si>
  <si>
    <t>M_f_4</t>
  </si>
  <si>
    <t>M_g_5</t>
  </si>
  <si>
    <t>rest_time_timer</t>
  </si>
  <si>
    <t>min_until_mating</t>
  </si>
  <si>
    <t>feeding_11.01</t>
  </si>
  <si>
    <t>feeding_13.01</t>
  </si>
  <si>
    <t>feeding_15.01</t>
  </si>
  <si>
    <t>feeding_17.01</t>
  </si>
  <si>
    <t>feeding_19.01</t>
  </si>
  <si>
    <t>feeding_21.01</t>
  </si>
  <si>
    <t>feeding_23.01</t>
  </si>
  <si>
    <t>feeding_25.01</t>
  </si>
  <si>
    <t>feeding_27.01</t>
  </si>
  <si>
    <t>feeding_29.01</t>
  </si>
  <si>
    <t>feeding_31.01</t>
  </si>
  <si>
    <t>feeding_6.2</t>
  </si>
  <si>
    <t>feeding_4.2</t>
  </si>
  <si>
    <t>feeding_2.2</t>
  </si>
  <si>
    <t>sum_post</t>
  </si>
  <si>
    <t>total_eggs._d1</t>
  </si>
  <si>
    <t>eggs_d1_loose</t>
  </si>
  <si>
    <t>eggs_d1_leaf</t>
  </si>
  <si>
    <t>eggs_d2_leaf</t>
  </si>
  <si>
    <t>eggs_d2_loose</t>
  </si>
  <si>
    <t>total_eggs._d2</t>
  </si>
  <si>
    <t>eggs_d3_leaf</t>
  </si>
  <si>
    <t>eggs_d3_loose</t>
  </si>
  <si>
    <t>total_eggs._d3</t>
  </si>
  <si>
    <t>eggs_d4_leaf</t>
  </si>
  <si>
    <t>eggs_d4_loose</t>
  </si>
  <si>
    <t>total_eggs._d4</t>
  </si>
  <si>
    <t>hatch_d1_8</t>
  </si>
  <si>
    <t>hatch_d1_9</t>
  </si>
  <si>
    <t>hatch_d1_10</t>
  </si>
  <si>
    <t>hatch_d1_11</t>
  </si>
  <si>
    <t>hatch_d4_8</t>
  </si>
  <si>
    <t>hatch_d4_9</t>
  </si>
  <si>
    <t>hatch_d4_10</t>
  </si>
  <si>
    <t>hatch_d4_11</t>
  </si>
  <si>
    <t>hatch_no._total</t>
  </si>
  <si>
    <t>hatching_rate</t>
  </si>
  <si>
    <t>egg_no._count</t>
  </si>
  <si>
    <t>egg_no._difference</t>
  </si>
  <si>
    <t>egg_no._corrected</t>
  </si>
  <si>
    <t>delta_la</t>
  </si>
  <si>
    <t>mass_l_d5_10</t>
  </si>
  <si>
    <t>mass_l_d5_11</t>
  </si>
  <si>
    <t xml:space="preserve">no._larves </t>
  </si>
  <si>
    <t>mass_l_d5_10_p.l.</t>
  </si>
  <si>
    <t>mass_l_d5_11_p.l.</t>
  </si>
  <si>
    <t>food_total</t>
  </si>
  <si>
    <t>y</t>
  </si>
  <si>
    <t>box_nr</t>
  </si>
  <si>
    <t>a</t>
  </si>
  <si>
    <t>stripe</t>
  </si>
  <si>
    <t>treatment_format</t>
  </si>
  <si>
    <t>none</t>
  </si>
  <si>
    <t>treatment_plot</t>
  </si>
  <si>
    <t>n</t>
  </si>
  <si>
    <t>sex_plots</t>
  </si>
  <si>
    <t>ALAN</t>
  </si>
  <si>
    <t>Cooper</t>
  </si>
  <si>
    <t>age_mating</t>
  </si>
  <si>
    <t xml:space="preserve">The individual ID of each experimental animal is in column C, the sex of the individual in column D (m = male, f = female, n = not known). </t>
  </si>
  <si>
    <t xml:space="preserve">This is the basis for both code scripts, so for producing the graphs and for producing the models. </t>
  </si>
  <si>
    <t xml:space="preserve">The following tab ("data") contains all raw data shown in the manuscript. The treatment groups are defined in column F with the following levels: C = control, A = ALAN, I = Insecticide, M = ALAN and Insecticide.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</si>
</sst>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scheme val="minor"/>
    </font>
    <font>
      <sz val="12"/>
      <color indexed="64"/>
      <name val="Aptos Narrow"/>
      <scheme val="minor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/>
    </xf>
    <xf numFmtId="14" fontId="0" fillId="0" borderId="0" xfId="0" applyNumberFormat="1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4" fontId="0" fillId="0" borderId="0" xfId="0" applyNumberFormat="1" applyBorder="1" applyAlignment="1">
      <alignment horizontal="right"/>
    </xf>
    <xf numFmtId="1" fontId="0" fillId="0" borderId="0" xfId="0" applyNumberFormat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center"/>
    </xf>
    <xf numFmtId="0" fontId="1" fillId="0" borderId="0" xfId="0" applyFont="1" applyBorder="1"/>
    <xf numFmtId="2" fontId="0" fillId="0" borderId="0" xfId="0" applyNumberFormat="1" applyBorder="1"/>
    <xf numFmtId="14" fontId="0" fillId="0" borderId="0" xfId="0" applyNumberFormat="1" applyBorder="1" applyAlignmen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/>
    <xf numFmtId="0" fontId="1" fillId="0" borderId="0" xfId="0" applyFont="1" applyBorder="1" applyAlignment="1"/>
    <xf numFmtId="2" fontId="1" fillId="0" borderId="0" xfId="0" applyNumberFormat="1" applyFont="1" applyBorder="1"/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ng, Sandra Regina" id="{2AD9DD3B-5AD9-DF14-CBB4-0D3BF1759277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1" personId="{2AD9DD3B-5AD9-DF14-CBB4-0D3BF1759277}" id="{006D003B-006A-4156-9CE2-00BB00B7006D}">
    <text xml:space="preserve">zufallsgenerator.net
</text>
  </threadedComment>
  <threadedComment ref="AJ144" personId="{2AD9DD3B-5AD9-DF14-CBB4-0D3BF1759277}" id="{001B00EE-009E-4DCD-AF23-006200B10057}">
    <text xml:space="preserve">hatte Flackern am Vormittag vom 3.2.25, deshalb lieber von den Mating trials ausgeschlossen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A32F-9327-4AC5-9668-180B50F5CC22}">
  <dimension ref="A2:A5"/>
  <sheetViews>
    <sheetView tabSelected="1" workbookViewId="0">
      <selection activeCell="E8" sqref="E8"/>
    </sheetView>
  </sheetViews>
  <sheetFormatPr defaultColWidth="11" defaultRowHeight="15.75" x14ac:dyDescent="0.25"/>
  <sheetData>
    <row r="2" spans="1:1" x14ac:dyDescent="0.25">
      <c r="A2" t="s">
        <v>287</v>
      </c>
    </row>
    <row r="3" spans="1:1" x14ac:dyDescent="0.25">
      <c r="A3" t="s">
        <v>285</v>
      </c>
    </row>
    <row r="5" spans="1:1" x14ac:dyDescent="0.25">
      <c r="A5" t="s">
        <v>286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58"/>
  <sheetViews>
    <sheetView zoomScaleNormal="100" workbookViewId="0">
      <pane xSplit="4" ySplit="1" topLeftCell="X2" activePane="bottomRight" state="frozen"/>
      <selection pane="topRight" activeCell="E1" sqref="E1"/>
      <selection pane="bottomLeft" activeCell="A2" sqref="A2"/>
      <selection pane="bottomRight" activeCell="AJ1" sqref="AJ1:AJ1048576"/>
    </sheetView>
  </sheetViews>
  <sheetFormatPr defaultColWidth="11.5" defaultRowHeight="15.75" x14ac:dyDescent="0.25"/>
  <cols>
    <col min="1" max="1" width="4" style="1" bestFit="1" customWidth="1"/>
    <col min="2" max="2" width="5.125" style="1" bestFit="1" customWidth="1"/>
    <col min="3" max="3" width="4.5" style="21" bestFit="1" customWidth="1"/>
    <col min="4" max="4" width="5.5" style="1" bestFit="1" customWidth="1"/>
    <col min="5" max="5" width="5.5" style="1" customWidth="1"/>
    <col min="6" max="6" width="10" style="1" bestFit="1" customWidth="1"/>
    <col min="7" max="9" width="10" style="1" customWidth="1"/>
    <col min="10" max="10" width="16.375" style="1" bestFit="1" customWidth="1"/>
    <col min="11" max="11" width="5.5" style="1" bestFit="1" customWidth="1"/>
    <col min="12" max="12" width="6.375" style="1" bestFit="1" customWidth="1"/>
    <col min="13" max="15" width="6.375" style="1" customWidth="1"/>
    <col min="16" max="16" width="7.5" style="1" bestFit="1" customWidth="1"/>
    <col min="17" max="17" width="11.25" style="1" bestFit="1" customWidth="1"/>
    <col min="18" max="18" width="19" style="1" bestFit="1" customWidth="1"/>
    <col min="19" max="19" width="15.5" style="1" bestFit="1" customWidth="1"/>
    <col min="20" max="20" width="15.125" style="1" bestFit="1" customWidth="1"/>
    <col min="21" max="21" width="14" style="1" bestFit="1" customWidth="1"/>
    <col min="22" max="22" width="13.875" style="1" bestFit="1" customWidth="1"/>
    <col min="23" max="23" width="14.75" style="1" bestFit="1" customWidth="1"/>
    <col min="24" max="24" width="18.5" style="1" bestFit="1" customWidth="1"/>
    <col min="25" max="25" width="13.5" style="1" bestFit="1" customWidth="1"/>
    <col min="26" max="26" width="13.5" style="1" customWidth="1"/>
    <col min="27" max="27" width="11.5" style="1" bestFit="1" customWidth="1"/>
    <col min="28" max="28" width="11.875" style="1" bestFit="1" customWidth="1"/>
    <col min="29" max="29" width="17.875" style="4" bestFit="1" customWidth="1"/>
    <col min="30" max="30" width="18" style="4" bestFit="1" customWidth="1"/>
    <col min="31" max="31" width="11.625" style="4" customWidth="1"/>
    <col min="32" max="32" width="10.75" style="1" bestFit="1" customWidth="1"/>
    <col min="33" max="33" width="7.375" style="1" bestFit="1" customWidth="1"/>
    <col min="34" max="34" width="8.375" style="5" bestFit="1" customWidth="1"/>
    <col min="35" max="35" width="8.25" style="1" bestFit="1" customWidth="1"/>
    <col min="36" max="36" width="13.5" style="1" bestFit="1" customWidth="1"/>
    <col min="37" max="37" width="8.875" style="1" bestFit="1" customWidth="1"/>
    <col min="38" max="38" width="9" style="5" bestFit="1" customWidth="1"/>
    <col min="39" max="39" width="9.125" style="1" bestFit="1" customWidth="1"/>
    <col min="40" max="40" width="14.25" style="1" bestFit="1" customWidth="1"/>
    <col min="41" max="41" width="9" style="1" bestFit="1" customWidth="1"/>
    <col min="42" max="42" width="8.875" style="1" bestFit="1" customWidth="1"/>
    <col min="43" max="43" width="15.25" style="1" customWidth="1"/>
    <col min="44" max="44" width="12.75" style="1" customWidth="1"/>
    <col min="45" max="47" width="11.875" style="1" bestFit="1" customWidth="1"/>
    <col min="48" max="48" width="9.5" style="1" customWidth="1"/>
    <col min="49" max="51" width="11.875" style="1" bestFit="1" customWidth="1"/>
    <col min="52" max="52" width="9.5" style="1" customWidth="1"/>
    <col min="53" max="57" width="11.875" style="1" bestFit="1" customWidth="1"/>
    <col min="58" max="62" width="11.5" style="1"/>
    <col min="63" max="63" width="11.75" style="1" bestFit="1" customWidth="1"/>
    <col min="64" max="64" width="12.625" style="21" bestFit="1" customWidth="1"/>
    <col min="65" max="65" width="11.25" style="21" bestFit="1" customWidth="1"/>
    <col min="66" max="66" width="11.25" style="19" customWidth="1"/>
    <col min="67" max="68" width="18.5" style="13" customWidth="1"/>
    <col min="69" max="69" width="11.625" style="1" customWidth="1"/>
    <col min="70" max="70" width="13.125" style="1" customWidth="1"/>
    <col min="71" max="71" width="12.5" style="1" customWidth="1"/>
    <col min="72" max="72" width="11.625" style="1" customWidth="1"/>
    <col min="73" max="73" width="13.125" style="1" customWidth="1"/>
    <col min="74" max="74" width="12.5" style="1" customWidth="1"/>
    <col min="75" max="75" width="11.625" style="1" customWidth="1"/>
    <col min="76" max="76" width="13.125" style="1" customWidth="1"/>
    <col min="77" max="77" width="12.5" style="1" customWidth="1"/>
    <col min="78" max="78" width="11.625" style="1" customWidth="1"/>
    <col min="79" max="79" width="13.125" style="1" customWidth="1"/>
    <col min="80" max="80" width="12.5" style="1" customWidth="1"/>
    <col min="81" max="93" width="11.5" style="1" customWidth="1"/>
    <col min="94" max="94" width="12.5" style="1" bestFit="1" customWidth="1"/>
    <col min="95" max="95" width="9.375" style="1" customWidth="1"/>
    <col min="96" max="96" width="15.75" style="1" customWidth="1"/>
    <col min="97" max="97" width="12.5" style="1" bestFit="1" customWidth="1"/>
    <col min="98" max="98" width="9.375" style="1" customWidth="1"/>
    <col min="99" max="99" width="15.75" style="1" customWidth="1"/>
    <col min="100" max="16384" width="11.5" style="1"/>
  </cols>
  <sheetData>
    <row r="1" spans="1:99" x14ac:dyDescent="0.25">
      <c r="A1" s="1">
        <v>1</v>
      </c>
      <c r="B1" s="1" t="s">
        <v>156</v>
      </c>
      <c r="C1" s="1" t="s">
        <v>0</v>
      </c>
      <c r="D1" s="12" t="s">
        <v>281</v>
      </c>
      <c r="E1" s="12" t="s">
        <v>1</v>
      </c>
      <c r="F1" s="1" t="s">
        <v>157</v>
      </c>
      <c r="G1" s="8" t="s">
        <v>279</v>
      </c>
      <c r="H1" s="8" t="s">
        <v>282</v>
      </c>
      <c r="I1" s="8" t="s">
        <v>283</v>
      </c>
      <c r="J1" s="8" t="s">
        <v>277</v>
      </c>
      <c r="K1" s="1" t="s">
        <v>274</v>
      </c>
      <c r="L1" s="1" t="s">
        <v>178</v>
      </c>
      <c r="M1" s="8" t="s">
        <v>86</v>
      </c>
      <c r="N1" s="8" t="s">
        <v>273</v>
      </c>
      <c r="O1" s="8" t="s">
        <v>275</v>
      </c>
      <c r="P1" s="1" t="s">
        <v>158</v>
      </c>
      <c r="Q1" s="1" t="s">
        <v>159</v>
      </c>
      <c r="R1" s="1" t="s">
        <v>174</v>
      </c>
      <c r="S1" s="12" t="s">
        <v>160</v>
      </c>
      <c r="T1" s="12" t="s">
        <v>161</v>
      </c>
      <c r="U1" s="12" t="s">
        <v>162</v>
      </c>
      <c r="V1" s="12" t="s">
        <v>171</v>
      </c>
      <c r="W1" s="12" t="s">
        <v>170</v>
      </c>
      <c r="X1" s="12" t="s">
        <v>172</v>
      </c>
      <c r="Y1" s="12" t="s">
        <v>173</v>
      </c>
      <c r="Z1" s="12" t="s">
        <v>284</v>
      </c>
      <c r="AA1" s="12" t="s">
        <v>163</v>
      </c>
      <c r="AB1" s="12" t="s">
        <v>164</v>
      </c>
      <c r="AC1" s="15" t="s">
        <v>165</v>
      </c>
      <c r="AD1" s="15" t="s">
        <v>166</v>
      </c>
      <c r="AE1" s="15" t="s">
        <v>167</v>
      </c>
      <c r="AF1" s="12" t="s">
        <v>168</v>
      </c>
      <c r="AG1" s="12" t="s">
        <v>169</v>
      </c>
      <c r="AH1" s="16" t="s">
        <v>176</v>
      </c>
      <c r="AI1" s="12" t="s">
        <v>177</v>
      </c>
      <c r="AJ1" s="12" t="s">
        <v>175</v>
      </c>
      <c r="AK1" s="12" t="s">
        <v>179</v>
      </c>
      <c r="AL1" s="16" t="s">
        <v>180</v>
      </c>
      <c r="AM1" s="12" t="s">
        <v>181</v>
      </c>
      <c r="AN1" s="12" t="s">
        <v>182</v>
      </c>
      <c r="AO1" s="12" t="s">
        <v>183</v>
      </c>
      <c r="AP1" s="12" t="s">
        <v>184</v>
      </c>
      <c r="AQ1" s="12" t="s">
        <v>185</v>
      </c>
      <c r="AR1" s="12" t="s">
        <v>266</v>
      </c>
      <c r="AS1" s="12" t="s">
        <v>226</v>
      </c>
      <c r="AT1" s="1" t="s">
        <v>227</v>
      </c>
      <c r="AU1" s="1" t="s">
        <v>228</v>
      </c>
      <c r="AV1" s="1" t="s">
        <v>5</v>
      </c>
      <c r="AW1" s="1" t="s">
        <v>229</v>
      </c>
      <c r="AX1" s="1" t="s">
        <v>230</v>
      </c>
      <c r="AY1" s="1" t="s">
        <v>231</v>
      </c>
      <c r="AZ1" s="1" t="s">
        <v>6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239</v>
      </c>
      <c r="BG1" s="1" t="s">
        <v>238</v>
      </c>
      <c r="BH1" s="1" t="s">
        <v>237</v>
      </c>
      <c r="BI1" s="1" t="s">
        <v>240</v>
      </c>
      <c r="BJ1" s="8" t="s">
        <v>272</v>
      </c>
      <c r="BK1" s="12" t="s">
        <v>2</v>
      </c>
      <c r="BL1" s="2" t="s">
        <v>3</v>
      </c>
      <c r="BM1" s="2" t="s">
        <v>4</v>
      </c>
      <c r="BN1" s="17" t="s">
        <v>186</v>
      </c>
      <c r="BO1" s="18" t="s">
        <v>224</v>
      </c>
      <c r="BP1" s="18" t="s">
        <v>225</v>
      </c>
      <c r="BQ1" s="1" t="s">
        <v>243</v>
      </c>
      <c r="BR1" s="1" t="s">
        <v>242</v>
      </c>
      <c r="BS1" s="1" t="s">
        <v>241</v>
      </c>
      <c r="BT1" s="1" t="s">
        <v>244</v>
      </c>
      <c r="BU1" s="1" t="s">
        <v>245</v>
      </c>
      <c r="BV1" s="1" t="s">
        <v>246</v>
      </c>
      <c r="BW1" s="1" t="s">
        <v>247</v>
      </c>
      <c r="BX1" s="1" t="s">
        <v>248</v>
      </c>
      <c r="BY1" s="1" t="s">
        <v>249</v>
      </c>
      <c r="BZ1" s="1" t="s">
        <v>250</v>
      </c>
      <c r="CA1" s="1" t="s">
        <v>251</v>
      </c>
      <c r="CB1" s="1" t="s">
        <v>252</v>
      </c>
      <c r="CC1" s="1" t="s">
        <v>263</v>
      </c>
      <c r="CD1" s="8" t="s">
        <v>264</v>
      </c>
      <c r="CE1" s="8" t="s">
        <v>265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8" t="s">
        <v>261</v>
      </c>
      <c r="CO1" s="8" t="s">
        <v>262</v>
      </c>
      <c r="CP1" s="8" t="s">
        <v>267</v>
      </c>
      <c r="CQ1" s="8" t="s">
        <v>269</v>
      </c>
      <c r="CR1" s="8" t="s">
        <v>270</v>
      </c>
      <c r="CS1" s="8" t="s">
        <v>268</v>
      </c>
      <c r="CT1" s="8" t="s">
        <v>269</v>
      </c>
      <c r="CU1" s="1" t="s">
        <v>271</v>
      </c>
    </row>
    <row r="2" spans="1:99" x14ac:dyDescent="0.25">
      <c r="A2" s="1">
        <v>2</v>
      </c>
      <c r="B2" s="1">
        <v>0</v>
      </c>
      <c r="C2" s="2" t="s">
        <v>7</v>
      </c>
      <c r="D2" s="1" t="s">
        <v>280</v>
      </c>
      <c r="E2" s="1" t="s">
        <v>12</v>
      </c>
      <c r="F2" s="1" t="str">
        <f t="shared" ref="F2:F33" si="0">MID(C2,1,1)</f>
        <v>M</v>
      </c>
      <c r="G2" s="1" t="str">
        <f t="shared" ref="G2:G33" si="1">IF(F2="C","A",IF(F2="A","B",IF(F2="I","C",IF(F2="M","D"))))</f>
        <v>D</v>
      </c>
      <c r="H2" s="1">
        <v>1</v>
      </c>
      <c r="I2" s="1">
        <v>1</v>
      </c>
      <c r="J2" s="8" t="s">
        <v>276</v>
      </c>
      <c r="K2" s="1">
        <v>1</v>
      </c>
      <c r="L2" s="1">
        <v>1</v>
      </c>
      <c r="M2" s="1">
        <v>3</v>
      </c>
      <c r="N2" s="1">
        <v>0</v>
      </c>
      <c r="P2" s="1" t="s">
        <v>8</v>
      </c>
      <c r="Q2" s="3">
        <v>45665</v>
      </c>
      <c r="R2" s="3">
        <v>45666</v>
      </c>
      <c r="S2" s="3">
        <v>45656</v>
      </c>
      <c r="T2" s="3">
        <v>45657</v>
      </c>
      <c r="U2" s="1">
        <f t="shared" ref="U2:U33" si="2">_xlfn.DAYS(R2,T2)</f>
        <v>9</v>
      </c>
      <c r="V2" s="1" t="s">
        <v>12</v>
      </c>
      <c r="W2" s="1" t="s">
        <v>12</v>
      </c>
      <c r="X2" s="1" t="s">
        <v>12</v>
      </c>
      <c r="Y2" s="1" t="s">
        <v>12</v>
      </c>
      <c r="AB2" s="3">
        <v>45705</v>
      </c>
      <c r="AD2" s="11" t="s">
        <v>86</v>
      </c>
      <c r="AE2" s="11">
        <v>45697</v>
      </c>
      <c r="AF2" s="1">
        <f t="shared" ref="AF2:AF33" si="3">_xlfn.DAYS(AE2,R2)</f>
        <v>31</v>
      </c>
      <c r="AG2" s="1">
        <v>1</v>
      </c>
      <c r="AH2" s="5">
        <v>0.873</v>
      </c>
      <c r="AI2" s="1">
        <v>2</v>
      </c>
      <c r="AJ2" s="3">
        <v>45670</v>
      </c>
      <c r="AK2" s="5" t="s">
        <v>12</v>
      </c>
      <c r="AL2" s="5" t="s">
        <v>12</v>
      </c>
      <c r="AM2" s="1" t="s">
        <v>12</v>
      </c>
      <c r="AN2" s="3" t="s">
        <v>12</v>
      </c>
      <c r="AO2" s="1" t="s">
        <v>12</v>
      </c>
      <c r="AP2" s="1" t="s">
        <v>12</v>
      </c>
      <c r="AQ2" s="1" t="s">
        <v>12</v>
      </c>
      <c r="AR2" s="1" t="s">
        <v>12</v>
      </c>
      <c r="AS2" s="1">
        <v>10</v>
      </c>
      <c r="AT2" s="1">
        <v>15</v>
      </c>
      <c r="AU2" s="1">
        <v>25</v>
      </c>
      <c r="AV2" s="1">
        <f t="shared" ref="AV2:AV15" si="4">AS2+AT2+AU2</f>
        <v>50</v>
      </c>
      <c r="AW2" s="1">
        <v>47</v>
      </c>
      <c r="AX2" s="1">
        <v>36</v>
      </c>
      <c r="AY2" s="1">
        <v>35</v>
      </c>
      <c r="AZ2" s="1">
        <f>SUM(AW2+AX2+AY2)</f>
        <v>118</v>
      </c>
      <c r="BA2" s="1">
        <v>41</v>
      </c>
      <c r="BB2" s="1">
        <v>89</v>
      </c>
      <c r="BC2" s="1">
        <v>56</v>
      </c>
      <c r="BD2" s="1">
        <v>50</v>
      </c>
      <c r="BE2" s="1">
        <v>49</v>
      </c>
      <c r="BF2" s="1">
        <v>62</v>
      </c>
      <c r="BG2" s="1">
        <v>39</v>
      </c>
      <c r="BH2" s="1">
        <v>34</v>
      </c>
      <c r="BI2" s="1">
        <f>BA2+BB2+BC2+BD2+BE2+BF2+BG2+BH2</f>
        <v>420</v>
      </c>
      <c r="BJ2" s="1">
        <f>AV2+AZ2+BI2</f>
        <v>588</v>
      </c>
      <c r="BK2" s="1" t="s">
        <v>12</v>
      </c>
      <c r="BL2" s="9" t="s">
        <v>12</v>
      </c>
      <c r="BM2" s="9" t="s">
        <v>12</v>
      </c>
      <c r="BN2" s="19" t="s">
        <v>12</v>
      </c>
      <c r="BO2" s="13" t="s">
        <v>12</v>
      </c>
      <c r="BP2" s="13" t="s">
        <v>12</v>
      </c>
      <c r="BQ2" s="13" t="s">
        <v>12</v>
      </c>
      <c r="BR2" s="13" t="s">
        <v>12</v>
      </c>
      <c r="BS2" s="13" t="s">
        <v>12</v>
      </c>
      <c r="BT2" s="13" t="s">
        <v>12</v>
      </c>
      <c r="BU2" s="13" t="s">
        <v>12</v>
      </c>
      <c r="BV2" s="13" t="s">
        <v>12</v>
      </c>
      <c r="BW2" s="13" t="s">
        <v>12</v>
      </c>
      <c r="BX2" s="13" t="s">
        <v>12</v>
      </c>
      <c r="BY2" s="13" t="s">
        <v>12</v>
      </c>
      <c r="BZ2" s="13" t="s">
        <v>12</v>
      </c>
      <c r="CA2" s="13" t="s">
        <v>12</v>
      </c>
      <c r="CB2" s="13" t="s">
        <v>12</v>
      </c>
      <c r="CC2" s="13" t="s">
        <v>12</v>
      </c>
      <c r="CD2" s="13"/>
      <c r="CE2" s="13" t="s">
        <v>12</v>
      </c>
      <c r="CF2" s="13" t="s">
        <v>12</v>
      </c>
      <c r="CG2" s="13" t="s">
        <v>12</v>
      </c>
      <c r="CH2" s="13" t="s">
        <v>12</v>
      </c>
      <c r="CI2" s="13" t="s">
        <v>12</v>
      </c>
      <c r="CJ2" s="13" t="s">
        <v>12</v>
      </c>
      <c r="CK2" s="13" t="s">
        <v>12</v>
      </c>
      <c r="CL2" s="13" t="s">
        <v>12</v>
      </c>
      <c r="CM2" s="13" t="s">
        <v>12</v>
      </c>
      <c r="CN2" s="13" t="s">
        <v>12</v>
      </c>
      <c r="CO2" s="13" t="s">
        <v>12</v>
      </c>
    </row>
    <row r="3" spans="1:99" x14ac:dyDescent="0.25">
      <c r="A3" s="1">
        <v>3</v>
      </c>
      <c r="B3" s="1">
        <v>1</v>
      </c>
      <c r="C3" s="2" t="s">
        <v>9</v>
      </c>
      <c r="D3" s="3" t="s">
        <v>10</v>
      </c>
      <c r="E3" s="1" t="str">
        <f>D3</f>
        <v>m</v>
      </c>
      <c r="F3" s="1" t="str">
        <f t="shared" si="0"/>
        <v>C</v>
      </c>
      <c r="G3" s="1" t="str">
        <f t="shared" si="1"/>
        <v>A</v>
      </c>
      <c r="H3" s="1">
        <v>0</v>
      </c>
      <c r="I3" s="1">
        <v>0</v>
      </c>
      <c r="J3" s="8" t="s">
        <v>278</v>
      </c>
      <c r="K3" s="1">
        <v>1</v>
      </c>
      <c r="L3" s="1">
        <v>1</v>
      </c>
      <c r="M3" s="1">
        <v>2</v>
      </c>
      <c r="N3" s="1">
        <v>0</v>
      </c>
      <c r="O3" s="8">
        <v>1</v>
      </c>
      <c r="P3" s="1" t="s">
        <v>8</v>
      </c>
      <c r="Q3" s="3">
        <v>45665</v>
      </c>
      <c r="R3" s="3">
        <v>45666</v>
      </c>
      <c r="S3" s="3">
        <v>45656</v>
      </c>
      <c r="T3" s="3">
        <v>45657</v>
      </c>
      <c r="U3" s="1">
        <f t="shared" si="2"/>
        <v>9</v>
      </c>
      <c r="V3" s="3">
        <v>45682</v>
      </c>
      <c r="W3" s="1">
        <f>_xlfn.DAYS(V3,R3)</f>
        <v>16</v>
      </c>
      <c r="X3" s="3">
        <v>45687</v>
      </c>
      <c r="Y3" s="1">
        <f>_xlfn.DAYS(X3,R3)</f>
        <v>21</v>
      </c>
      <c r="Z3" s="1">
        <f>_xlfn.DAYS(BK3,X3)</f>
        <v>8</v>
      </c>
      <c r="AB3" s="3">
        <v>45698</v>
      </c>
      <c r="AD3" s="11" t="s">
        <v>86</v>
      </c>
      <c r="AE3" s="11">
        <v>45697</v>
      </c>
      <c r="AF3" s="1">
        <f t="shared" si="3"/>
        <v>31</v>
      </c>
      <c r="AG3" s="1">
        <v>0</v>
      </c>
      <c r="AH3" s="5">
        <v>0.73799999999999999</v>
      </c>
      <c r="AI3" s="1">
        <v>2</v>
      </c>
      <c r="AJ3" s="3">
        <v>45670</v>
      </c>
      <c r="AK3" s="5">
        <f>AL3-AH3</f>
        <v>6.3030000000000008</v>
      </c>
      <c r="AL3" s="5">
        <v>7.0410000000000004</v>
      </c>
      <c r="AM3" s="1">
        <v>2</v>
      </c>
      <c r="AN3" s="3">
        <f>V3+1</f>
        <v>45683</v>
      </c>
      <c r="AO3" s="1">
        <v>6.2409999999999997</v>
      </c>
      <c r="AP3" s="1">
        <v>1</v>
      </c>
      <c r="AQ3" s="3">
        <f>X3+1</f>
        <v>45688</v>
      </c>
      <c r="AR3" s="5">
        <f>AO3-AH3</f>
        <v>5.5030000000000001</v>
      </c>
      <c r="AS3" s="1">
        <v>12</v>
      </c>
      <c r="AT3" s="1">
        <v>37</v>
      </c>
      <c r="AU3" s="1">
        <v>70</v>
      </c>
      <c r="AV3" s="1">
        <f t="shared" si="4"/>
        <v>119</v>
      </c>
      <c r="AW3" s="1">
        <v>83</v>
      </c>
      <c r="AX3" s="1">
        <v>289</v>
      </c>
      <c r="AY3" s="1">
        <v>191</v>
      </c>
      <c r="AZ3" s="1">
        <f>SUM(AW3+AX3+AY3)</f>
        <v>563</v>
      </c>
      <c r="BA3" s="1">
        <v>13</v>
      </c>
      <c r="BB3" s="1">
        <v>0</v>
      </c>
      <c r="BC3" s="1" t="s">
        <v>12</v>
      </c>
      <c r="BD3" s="1" t="s">
        <v>12</v>
      </c>
      <c r="BE3" s="1" t="s">
        <v>12</v>
      </c>
      <c r="BF3" s="1" t="s">
        <v>12</v>
      </c>
      <c r="BG3" s="1" t="s">
        <v>12</v>
      </c>
      <c r="BH3" s="1" t="s">
        <v>12</v>
      </c>
      <c r="BI3" s="1">
        <f>BA3+BB3</f>
        <v>13</v>
      </c>
      <c r="BJ3" s="1">
        <f>AV3+AZ3+BI3</f>
        <v>695</v>
      </c>
      <c r="BK3" s="3">
        <v>45695</v>
      </c>
      <c r="BL3" s="6" t="s">
        <v>11</v>
      </c>
      <c r="BM3" s="6"/>
      <c r="BN3" s="6" t="s">
        <v>190</v>
      </c>
      <c r="BO3" s="13">
        <v>47.1</v>
      </c>
      <c r="BP3" s="13">
        <v>12.5</v>
      </c>
      <c r="BQ3" s="1">
        <v>0</v>
      </c>
      <c r="BR3" s="1">
        <v>0</v>
      </c>
      <c r="BS3" s="1">
        <f>BQ3+BR3</f>
        <v>0</v>
      </c>
      <c r="BT3" s="1">
        <v>3</v>
      </c>
      <c r="BU3" s="1">
        <v>0</v>
      </c>
      <c r="BV3" s="1">
        <f>BT3+BU3</f>
        <v>3</v>
      </c>
      <c r="BW3" s="1">
        <v>12</v>
      </c>
      <c r="BX3" s="1">
        <v>0</v>
      </c>
      <c r="BY3" s="1">
        <f>BW3+BX3</f>
        <v>12</v>
      </c>
      <c r="BZ3" s="1">
        <v>12</v>
      </c>
      <c r="CA3" s="1">
        <v>0</v>
      </c>
      <c r="CB3" s="1">
        <f>BZ3+CA3</f>
        <v>12</v>
      </c>
      <c r="CC3" s="1">
        <f>BS3+BV3+BY3+CB3</f>
        <v>27</v>
      </c>
      <c r="CD3" s="1">
        <f>CN3-CC3</f>
        <v>4</v>
      </c>
      <c r="CE3" s="7">
        <f>CC3+CD3</f>
        <v>31</v>
      </c>
      <c r="CF3" s="8">
        <v>0</v>
      </c>
      <c r="CG3" s="8">
        <v>5</v>
      </c>
      <c r="CH3" s="8">
        <v>9</v>
      </c>
      <c r="CI3" s="8">
        <v>16</v>
      </c>
      <c r="CJ3" s="8">
        <v>0</v>
      </c>
      <c r="CK3" s="8">
        <v>0</v>
      </c>
      <c r="CL3" s="8">
        <v>1</v>
      </c>
      <c r="CM3" s="8">
        <v>0</v>
      </c>
      <c r="CN3" s="1">
        <f>CF3+CG3+CH3+CI3+CJ3+CK3+CL3+CM3</f>
        <v>31</v>
      </c>
      <c r="CO3" s="1">
        <f>CN3/CE3</f>
        <v>1</v>
      </c>
      <c r="CP3" s="8">
        <v>5.7549999999999999</v>
      </c>
      <c r="CQ3" s="8">
        <v>5</v>
      </c>
      <c r="CR3" s="1">
        <f>CP3/CQ3</f>
        <v>1.151</v>
      </c>
      <c r="CS3" s="1">
        <v>3.12</v>
      </c>
      <c r="CT3" s="8">
        <v>4</v>
      </c>
      <c r="CU3" s="1">
        <f>CS3/CT3</f>
        <v>0.78</v>
      </c>
    </row>
    <row r="4" spans="1:99" x14ac:dyDescent="0.25">
      <c r="A4" s="1">
        <v>4</v>
      </c>
      <c r="B4" s="1">
        <v>2</v>
      </c>
      <c r="C4" s="2" t="s">
        <v>13</v>
      </c>
      <c r="D4" s="3" t="s">
        <v>10</v>
      </c>
      <c r="E4" s="1" t="str">
        <f>D4</f>
        <v>m</v>
      </c>
      <c r="F4" s="1" t="str">
        <f t="shared" si="0"/>
        <v>I</v>
      </c>
      <c r="G4" s="1" t="str">
        <f t="shared" si="1"/>
        <v>C</v>
      </c>
      <c r="H4" s="1">
        <v>0</v>
      </c>
      <c r="I4" s="1">
        <v>1</v>
      </c>
      <c r="J4" s="8" t="s">
        <v>278</v>
      </c>
      <c r="K4" s="1">
        <v>1</v>
      </c>
      <c r="L4" s="1">
        <v>1</v>
      </c>
      <c r="M4" s="1">
        <v>1</v>
      </c>
      <c r="N4" s="1">
        <v>0</v>
      </c>
      <c r="O4" s="8">
        <v>1</v>
      </c>
      <c r="P4" s="1" t="s">
        <v>8</v>
      </c>
      <c r="Q4" s="3">
        <v>45665</v>
      </c>
      <c r="R4" s="3">
        <v>45666</v>
      </c>
      <c r="S4" s="3">
        <v>45656</v>
      </c>
      <c r="T4" s="3">
        <v>45657</v>
      </c>
      <c r="U4" s="1">
        <f t="shared" si="2"/>
        <v>9</v>
      </c>
      <c r="V4" s="3">
        <v>45686</v>
      </c>
      <c r="W4" s="1">
        <f>_xlfn.DAYS(V4,R4)</f>
        <v>20</v>
      </c>
      <c r="X4" s="3">
        <v>45691</v>
      </c>
      <c r="Y4" s="1">
        <f>_xlfn.DAYS(X4,R4)</f>
        <v>25</v>
      </c>
      <c r="AB4" s="3">
        <v>45700</v>
      </c>
      <c r="AD4" s="11" t="s">
        <v>86</v>
      </c>
      <c r="AE4" s="11">
        <v>45697</v>
      </c>
      <c r="AF4" s="1">
        <f t="shared" si="3"/>
        <v>31</v>
      </c>
      <c r="AG4" s="1">
        <v>0</v>
      </c>
      <c r="AH4" s="5">
        <v>0.40200000000000002</v>
      </c>
      <c r="AI4" s="1">
        <v>2</v>
      </c>
      <c r="AJ4" s="3">
        <v>45670</v>
      </c>
      <c r="AK4" s="5">
        <f>AL4-AH4</f>
        <v>5.4969999999999999</v>
      </c>
      <c r="AL4" s="5">
        <v>5.899</v>
      </c>
      <c r="AM4" s="1">
        <v>2</v>
      </c>
      <c r="AN4" s="3">
        <f>V4+1</f>
        <v>45687</v>
      </c>
      <c r="AO4" s="5">
        <v>5.391</v>
      </c>
      <c r="AP4" s="1">
        <v>2</v>
      </c>
      <c r="AQ4" s="3">
        <f>X4+1</f>
        <v>45692</v>
      </c>
      <c r="AR4" s="5">
        <f>AO4-AH4</f>
        <v>4.9889999999999999</v>
      </c>
      <c r="AS4" s="1">
        <v>4</v>
      </c>
      <c r="AT4" s="1">
        <v>18</v>
      </c>
      <c r="AU4" s="1">
        <v>27</v>
      </c>
      <c r="AV4" s="1">
        <f t="shared" si="4"/>
        <v>49</v>
      </c>
      <c r="AW4" s="1">
        <v>18</v>
      </c>
      <c r="AX4" s="1">
        <v>48</v>
      </c>
      <c r="AY4" s="1">
        <v>99</v>
      </c>
      <c r="AZ4" s="1">
        <f>SUM(AW4+AX4+AY4)</f>
        <v>165</v>
      </c>
      <c r="BA4" s="1">
        <v>227</v>
      </c>
      <c r="BB4" s="1">
        <v>75</v>
      </c>
      <c r="BC4" s="1">
        <v>0</v>
      </c>
      <c r="BD4" s="1">
        <v>0</v>
      </c>
      <c r="BE4" s="1" t="s">
        <v>12</v>
      </c>
      <c r="BF4" s="1" t="s">
        <v>12</v>
      </c>
      <c r="BG4" s="1" t="s">
        <v>12</v>
      </c>
      <c r="BH4" s="1" t="s">
        <v>12</v>
      </c>
      <c r="BI4" s="1">
        <f>BA4+BB4+BC4+BD4</f>
        <v>302</v>
      </c>
      <c r="BJ4" s="1">
        <f>AV4+AZ4+BI4</f>
        <v>516</v>
      </c>
      <c r="BK4" s="3" t="s">
        <v>12</v>
      </c>
      <c r="BL4" s="10" t="s">
        <v>12</v>
      </c>
      <c r="BM4" s="10" t="s">
        <v>12</v>
      </c>
      <c r="BN4" s="14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13" t="s">
        <v>12</v>
      </c>
      <c r="BY4" s="13" t="s">
        <v>12</v>
      </c>
      <c r="BZ4" s="13" t="s">
        <v>12</v>
      </c>
      <c r="CA4" s="13" t="s">
        <v>12</v>
      </c>
      <c r="CB4" s="13" t="s">
        <v>12</v>
      </c>
      <c r="CC4" s="13" t="s">
        <v>12</v>
      </c>
      <c r="CD4" s="13"/>
      <c r="CE4" s="13" t="s">
        <v>12</v>
      </c>
      <c r="CF4" s="13" t="s">
        <v>12</v>
      </c>
      <c r="CG4" s="13" t="s">
        <v>12</v>
      </c>
      <c r="CH4" s="13" t="s">
        <v>12</v>
      </c>
      <c r="CI4" s="13" t="s">
        <v>12</v>
      </c>
      <c r="CJ4" s="13" t="s">
        <v>12</v>
      </c>
      <c r="CK4" s="13" t="s">
        <v>12</v>
      </c>
      <c r="CL4" s="13" t="s">
        <v>12</v>
      </c>
      <c r="CM4" s="13" t="s">
        <v>12</v>
      </c>
      <c r="CN4" s="13" t="s">
        <v>12</v>
      </c>
      <c r="CO4" s="13" t="s">
        <v>12</v>
      </c>
    </row>
    <row r="5" spans="1:99" x14ac:dyDescent="0.25">
      <c r="A5" s="1">
        <v>5</v>
      </c>
      <c r="B5" s="1">
        <v>3</v>
      </c>
      <c r="C5" s="2" t="s">
        <v>15</v>
      </c>
      <c r="D5" s="3" t="s">
        <v>10</v>
      </c>
      <c r="E5" s="1" t="str">
        <f>D5</f>
        <v>m</v>
      </c>
      <c r="F5" s="1" t="str">
        <f t="shared" si="0"/>
        <v>A</v>
      </c>
      <c r="G5" s="1" t="str">
        <f t="shared" si="1"/>
        <v>B</v>
      </c>
      <c r="H5" s="1">
        <v>1</v>
      </c>
      <c r="I5" s="1">
        <v>0</v>
      </c>
      <c r="J5" s="8" t="s">
        <v>278</v>
      </c>
      <c r="K5" s="1">
        <v>1</v>
      </c>
      <c r="L5" s="1">
        <v>1</v>
      </c>
      <c r="M5" s="8">
        <v>0</v>
      </c>
      <c r="N5" s="8">
        <v>0</v>
      </c>
      <c r="O5" s="8">
        <v>1</v>
      </c>
      <c r="P5" s="1" t="s">
        <v>8</v>
      </c>
      <c r="Q5" s="3">
        <v>45665</v>
      </c>
      <c r="R5" s="3">
        <v>45666</v>
      </c>
      <c r="S5" s="3">
        <v>45656</v>
      </c>
      <c r="T5" s="3">
        <v>45657</v>
      </c>
      <c r="U5" s="1">
        <f t="shared" si="2"/>
        <v>9</v>
      </c>
      <c r="V5" s="3">
        <v>45682</v>
      </c>
      <c r="W5" s="1">
        <f>_xlfn.DAYS(V5,R5)</f>
        <v>16</v>
      </c>
      <c r="X5" s="3">
        <v>45688</v>
      </c>
      <c r="Y5" s="1">
        <f>_xlfn.DAYS(X5,R5)</f>
        <v>22</v>
      </c>
      <c r="Z5" s="1">
        <f>_xlfn.DAYS(BK5,X5)</f>
        <v>7</v>
      </c>
      <c r="AB5" s="3">
        <v>45698</v>
      </c>
      <c r="AD5" s="11" t="s">
        <v>86</v>
      </c>
      <c r="AE5" s="11">
        <v>45697</v>
      </c>
      <c r="AF5" s="1">
        <f t="shared" si="3"/>
        <v>31</v>
      </c>
      <c r="AG5" s="1">
        <v>0</v>
      </c>
      <c r="AH5" s="5">
        <v>1.123</v>
      </c>
      <c r="AI5" s="1">
        <v>2</v>
      </c>
      <c r="AJ5" s="3">
        <v>45670</v>
      </c>
      <c r="AK5" s="5">
        <f>AL5-AH5</f>
        <v>6.3570000000000002</v>
      </c>
      <c r="AL5" s="5">
        <v>7.48</v>
      </c>
      <c r="AM5" s="1">
        <v>2</v>
      </c>
      <c r="AN5" s="3">
        <f>V5+1</f>
        <v>45683</v>
      </c>
      <c r="AO5" s="1">
        <v>6.6849999999999996</v>
      </c>
      <c r="AP5" s="1">
        <v>2</v>
      </c>
      <c r="AQ5" s="3">
        <f>X5+1</f>
        <v>45689</v>
      </c>
      <c r="AR5" s="5">
        <f>AO5-AH5</f>
        <v>5.5619999999999994</v>
      </c>
      <c r="AS5" s="1">
        <v>15</v>
      </c>
      <c r="AT5" s="1">
        <v>39</v>
      </c>
      <c r="AU5" s="1">
        <v>143</v>
      </c>
      <c r="AV5" s="1">
        <f t="shared" si="4"/>
        <v>197</v>
      </c>
      <c r="AW5" s="1">
        <v>132</v>
      </c>
      <c r="AX5" s="1">
        <v>276</v>
      </c>
      <c r="AY5" s="1">
        <v>102</v>
      </c>
      <c r="AZ5" s="1">
        <f>SUM(AW5+AX5+AY5)</f>
        <v>510</v>
      </c>
      <c r="BA5" s="1">
        <v>0</v>
      </c>
      <c r="BB5" s="1">
        <v>0</v>
      </c>
      <c r="BC5" s="1" t="s">
        <v>12</v>
      </c>
      <c r="BD5" s="1" t="s">
        <v>12</v>
      </c>
      <c r="BE5" s="1" t="s">
        <v>12</v>
      </c>
      <c r="BF5" s="1" t="s">
        <v>12</v>
      </c>
      <c r="BG5" s="1" t="s">
        <v>12</v>
      </c>
      <c r="BH5" s="1" t="s">
        <v>12</v>
      </c>
      <c r="BI5" s="1">
        <f>BA5+BB5</f>
        <v>0</v>
      </c>
      <c r="BJ5" s="1">
        <f>AV5+AZ5+BI5</f>
        <v>707</v>
      </c>
      <c r="BK5" s="3">
        <v>45695</v>
      </c>
      <c r="BL5" s="6" t="s">
        <v>16</v>
      </c>
      <c r="BM5" s="6"/>
      <c r="BN5" s="6" t="s">
        <v>191</v>
      </c>
      <c r="BO5" s="13">
        <v>58.17</v>
      </c>
      <c r="BP5" s="13">
        <v>1.43</v>
      </c>
      <c r="BQ5" s="1">
        <v>5</v>
      </c>
      <c r="BR5" s="1">
        <v>0</v>
      </c>
      <c r="BS5" s="1">
        <f>BQ5+BR5</f>
        <v>5</v>
      </c>
      <c r="BT5" s="1">
        <v>8</v>
      </c>
      <c r="BU5" s="1">
        <v>0</v>
      </c>
      <c r="BV5" s="1">
        <f>BT5+BU5</f>
        <v>8</v>
      </c>
      <c r="BW5" s="1">
        <v>12</v>
      </c>
      <c r="BX5" s="1">
        <v>0</v>
      </c>
      <c r="BY5" s="1">
        <f>BW5+BX5</f>
        <v>12</v>
      </c>
      <c r="BZ5" s="1">
        <v>10</v>
      </c>
      <c r="CA5" s="1">
        <v>0</v>
      </c>
      <c r="CB5" s="1">
        <f>BZ5+CA5</f>
        <v>10</v>
      </c>
      <c r="CC5" s="1">
        <f>BS5+BV5+BY5+CB5</f>
        <v>35</v>
      </c>
      <c r="CE5" s="7">
        <f>CC5+CD5</f>
        <v>35</v>
      </c>
      <c r="CF5" s="1">
        <v>4</v>
      </c>
      <c r="CG5" s="1">
        <v>8</v>
      </c>
      <c r="CH5" s="1">
        <v>5</v>
      </c>
      <c r="CI5" s="1">
        <v>6</v>
      </c>
      <c r="CJ5" s="1">
        <v>3</v>
      </c>
      <c r="CK5" s="1">
        <v>0</v>
      </c>
      <c r="CL5" s="1">
        <v>0</v>
      </c>
      <c r="CM5" s="1">
        <v>0</v>
      </c>
      <c r="CN5" s="1">
        <f>CF5+CG5+CH5+CI5+CJ5+CK5+CL5+CM5</f>
        <v>26</v>
      </c>
      <c r="CO5" s="1">
        <f>CN5/CE5</f>
        <v>0.74285714285714288</v>
      </c>
      <c r="CP5" s="8">
        <v>5.67</v>
      </c>
      <c r="CQ5" s="8">
        <v>5</v>
      </c>
      <c r="CR5" s="1">
        <f>CP5/CQ5</f>
        <v>1.1339999999999999</v>
      </c>
      <c r="CS5" s="1">
        <v>4.9160000000000004</v>
      </c>
      <c r="CT5" s="8">
        <v>5</v>
      </c>
      <c r="CU5" s="1">
        <f>CS5/CT5</f>
        <v>0.98320000000000007</v>
      </c>
    </row>
    <row r="6" spans="1:99" x14ac:dyDescent="0.25">
      <c r="A6" s="1">
        <v>6</v>
      </c>
      <c r="B6" s="1">
        <v>4</v>
      </c>
      <c r="C6" s="2" t="s">
        <v>17</v>
      </c>
      <c r="D6" s="1" t="s">
        <v>280</v>
      </c>
      <c r="E6" s="1" t="s">
        <v>12</v>
      </c>
      <c r="F6" s="1" t="str">
        <f t="shared" si="0"/>
        <v>A</v>
      </c>
      <c r="G6" s="1" t="str">
        <f t="shared" si="1"/>
        <v>B</v>
      </c>
      <c r="H6" s="1">
        <v>1</v>
      </c>
      <c r="I6" s="1">
        <v>0</v>
      </c>
      <c r="J6" s="8" t="s">
        <v>278</v>
      </c>
      <c r="K6" s="1">
        <v>1</v>
      </c>
      <c r="L6" s="1">
        <v>1</v>
      </c>
      <c r="M6" s="8">
        <v>0</v>
      </c>
      <c r="N6" s="8">
        <v>1</v>
      </c>
      <c r="O6" s="8"/>
      <c r="P6" s="1" t="s">
        <v>8</v>
      </c>
      <c r="Q6" s="3">
        <v>45665</v>
      </c>
      <c r="R6" s="3">
        <v>45666</v>
      </c>
      <c r="S6" s="3">
        <v>45656</v>
      </c>
      <c r="T6" s="3">
        <v>45657</v>
      </c>
      <c r="U6" s="1">
        <f t="shared" si="2"/>
        <v>9</v>
      </c>
      <c r="V6" s="1" t="s">
        <v>12</v>
      </c>
      <c r="W6" s="1" t="s">
        <v>12</v>
      </c>
      <c r="X6" s="1" t="s">
        <v>12</v>
      </c>
      <c r="Y6" s="1" t="s">
        <v>12</v>
      </c>
      <c r="AA6" s="3">
        <v>45674</v>
      </c>
      <c r="AE6" s="11">
        <f>AA6</f>
        <v>45674</v>
      </c>
      <c r="AF6" s="1">
        <f t="shared" si="3"/>
        <v>8</v>
      </c>
      <c r="AG6" s="1">
        <v>1</v>
      </c>
      <c r="AH6" s="5">
        <v>0.59</v>
      </c>
      <c r="AI6" s="1">
        <v>2</v>
      </c>
      <c r="AJ6" s="3">
        <v>45670</v>
      </c>
      <c r="AK6" s="5" t="s">
        <v>12</v>
      </c>
      <c r="AL6" s="5" t="s">
        <v>12</v>
      </c>
      <c r="AM6" s="5" t="s">
        <v>12</v>
      </c>
      <c r="AN6" s="3" t="s">
        <v>12</v>
      </c>
      <c r="AO6" s="5" t="s">
        <v>12</v>
      </c>
      <c r="AP6" s="5" t="s">
        <v>12</v>
      </c>
      <c r="AQ6" s="3" t="s">
        <v>12</v>
      </c>
      <c r="AR6" s="1" t="s">
        <v>12</v>
      </c>
      <c r="AS6" s="1">
        <v>10</v>
      </c>
      <c r="AT6" s="1">
        <v>15</v>
      </c>
      <c r="AU6" s="1">
        <v>9</v>
      </c>
      <c r="AV6" s="1">
        <f t="shared" si="4"/>
        <v>34</v>
      </c>
      <c r="AW6" s="1">
        <v>2</v>
      </c>
      <c r="AX6" s="1" t="s">
        <v>12</v>
      </c>
      <c r="AY6" s="1" t="s">
        <v>12</v>
      </c>
      <c r="AZ6" s="1">
        <f>AW6</f>
        <v>2</v>
      </c>
      <c r="BA6" s="1" t="s">
        <v>12</v>
      </c>
      <c r="BB6" s="1" t="s">
        <v>12</v>
      </c>
      <c r="BC6" s="1" t="s">
        <v>12</v>
      </c>
      <c r="BD6" s="1" t="s">
        <v>12</v>
      </c>
      <c r="BE6" s="1" t="s">
        <v>12</v>
      </c>
      <c r="BF6" s="1" t="s">
        <v>12</v>
      </c>
      <c r="BG6" s="1" t="s">
        <v>12</v>
      </c>
      <c r="BH6" s="1" t="s">
        <v>12</v>
      </c>
      <c r="BI6" s="1" t="s">
        <v>12</v>
      </c>
      <c r="BJ6" s="1" t="s">
        <v>12</v>
      </c>
      <c r="BK6" s="3" t="s">
        <v>12</v>
      </c>
      <c r="BL6" s="10" t="s">
        <v>12</v>
      </c>
      <c r="BM6" s="10" t="s">
        <v>12</v>
      </c>
      <c r="BN6" s="14" t="s">
        <v>12</v>
      </c>
      <c r="BO6" s="13" t="s">
        <v>12</v>
      </c>
      <c r="BP6" s="13" t="s">
        <v>12</v>
      </c>
      <c r="BQ6" s="13" t="s">
        <v>12</v>
      </c>
      <c r="BR6" s="13" t="s">
        <v>12</v>
      </c>
      <c r="BS6" s="13" t="s">
        <v>12</v>
      </c>
      <c r="BT6" s="13" t="s">
        <v>12</v>
      </c>
      <c r="BU6" s="13" t="s">
        <v>12</v>
      </c>
      <c r="BV6" s="13" t="s">
        <v>12</v>
      </c>
      <c r="BW6" s="13" t="s">
        <v>12</v>
      </c>
      <c r="BX6" s="13" t="s">
        <v>12</v>
      </c>
      <c r="BY6" s="13" t="s">
        <v>12</v>
      </c>
      <c r="BZ6" s="13" t="s">
        <v>12</v>
      </c>
      <c r="CA6" s="13" t="s">
        <v>12</v>
      </c>
      <c r="CB6" s="13" t="s">
        <v>12</v>
      </c>
      <c r="CC6" s="13" t="s">
        <v>12</v>
      </c>
      <c r="CD6" s="13"/>
      <c r="CE6" s="13" t="s">
        <v>12</v>
      </c>
      <c r="CF6" s="13" t="s">
        <v>12</v>
      </c>
      <c r="CG6" s="13" t="s">
        <v>12</v>
      </c>
      <c r="CH6" s="13" t="s">
        <v>12</v>
      </c>
      <c r="CI6" s="13" t="s">
        <v>12</v>
      </c>
      <c r="CJ6" s="13" t="s">
        <v>12</v>
      </c>
      <c r="CK6" s="13" t="s">
        <v>12</v>
      </c>
      <c r="CL6" s="13" t="s">
        <v>12</v>
      </c>
      <c r="CM6" s="13" t="s">
        <v>12</v>
      </c>
      <c r="CN6" s="13" t="s">
        <v>12</v>
      </c>
      <c r="CO6" s="13" t="s">
        <v>12</v>
      </c>
    </row>
    <row r="7" spans="1:99" x14ac:dyDescent="0.25">
      <c r="A7" s="1">
        <v>7</v>
      </c>
      <c r="B7" s="1">
        <v>5</v>
      </c>
      <c r="C7" s="2" t="s">
        <v>18</v>
      </c>
      <c r="D7" s="1" t="s">
        <v>280</v>
      </c>
      <c r="E7" s="1" t="s">
        <v>12</v>
      </c>
      <c r="F7" s="1" t="str">
        <f t="shared" si="0"/>
        <v>M</v>
      </c>
      <c r="G7" s="1" t="str">
        <f t="shared" si="1"/>
        <v>D</v>
      </c>
      <c r="H7" s="1">
        <v>1</v>
      </c>
      <c r="I7" s="1">
        <v>1</v>
      </c>
      <c r="J7" s="8" t="s">
        <v>276</v>
      </c>
      <c r="K7" s="1">
        <v>1</v>
      </c>
      <c r="L7" s="1">
        <v>1</v>
      </c>
      <c r="M7" s="8">
        <v>1</v>
      </c>
      <c r="N7" s="8">
        <v>1</v>
      </c>
      <c r="O7" s="8"/>
      <c r="P7" s="1" t="s">
        <v>8</v>
      </c>
      <c r="Q7" s="3">
        <v>45665</v>
      </c>
      <c r="R7" s="3">
        <v>45666</v>
      </c>
      <c r="S7" s="3">
        <v>45656</v>
      </c>
      <c r="T7" s="3">
        <v>45657</v>
      </c>
      <c r="U7" s="1">
        <f t="shared" si="2"/>
        <v>9</v>
      </c>
      <c r="V7" s="1" t="s">
        <v>12</v>
      </c>
      <c r="W7" s="1" t="s">
        <v>12</v>
      </c>
      <c r="X7" s="1" t="s">
        <v>12</v>
      </c>
      <c r="Y7" s="1" t="s">
        <v>12</v>
      </c>
      <c r="AA7" s="3">
        <v>45676</v>
      </c>
      <c r="AE7" s="11">
        <f>AA7</f>
        <v>45676</v>
      </c>
      <c r="AF7" s="1">
        <f t="shared" si="3"/>
        <v>10</v>
      </c>
      <c r="AG7" s="1">
        <v>1</v>
      </c>
      <c r="AH7" s="5">
        <v>0.751</v>
      </c>
      <c r="AI7" s="1">
        <v>2</v>
      </c>
      <c r="AJ7" s="3">
        <v>45670</v>
      </c>
      <c r="AK7" s="5" t="s">
        <v>12</v>
      </c>
      <c r="AL7" s="5" t="s">
        <v>12</v>
      </c>
      <c r="AM7" s="5" t="s">
        <v>12</v>
      </c>
      <c r="AN7" s="3" t="s">
        <v>12</v>
      </c>
      <c r="AO7" s="5" t="s">
        <v>12</v>
      </c>
      <c r="AP7" s="5" t="s">
        <v>12</v>
      </c>
      <c r="AQ7" s="3" t="s">
        <v>12</v>
      </c>
      <c r="AR7" s="1" t="s">
        <v>12</v>
      </c>
      <c r="AS7" s="1">
        <v>15</v>
      </c>
      <c r="AT7" s="1">
        <v>17</v>
      </c>
      <c r="AU7" s="1">
        <v>62</v>
      </c>
      <c r="AV7" s="1">
        <f t="shared" si="4"/>
        <v>94</v>
      </c>
      <c r="AW7" s="1">
        <v>24</v>
      </c>
      <c r="AX7" s="1">
        <v>0</v>
      </c>
      <c r="AY7" s="1" t="s">
        <v>12</v>
      </c>
      <c r="AZ7" s="1">
        <f>AW7+AX7</f>
        <v>24</v>
      </c>
      <c r="BA7" s="1" t="s">
        <v>12</v>
      </c>
      <c r="BB7" s="1" t="s">
        <v>12</v>
      </c>
      <c r="BC7" s="1" t="s">
        <v>12</v>
      </c>
      <c r="BD7" s="1" t="s">
        <v>12</v>
      </c>
      <c r="BE7" s="1" t="s">
        <v>12</v>
      </c>
      <c r="BF7" s="1" t="s">
        <v>12</v>
      </c>
      <c r="BG7" s="1" t="s">
        <v>12</v>
      </c>
      <c r="BH7" s="1" t="s">
        <v>12</v>
      </c>
      <c r="BI7" s="1" t="s">
        <v>12</v>
      </c>
      <c r="BJ7" s="1" t="s">
        <v>12</v>
      </c>
      <c r="BK7" s="3" t="s">
        <v>12</v>
      </c>
      <c r="BL7" s="10" t="s">
        <v>12</v>
      </c>
      <c r="BM7" s="10" t="s">
        <v>12</v>
      </c>
      <c r="BN7" s="14" t="s">
        <v>12</v>
      </c>
      <c r="BO7" s="13" t="s">
        <v>12</v>
      </c>
      <c r="BP7" s="13" t="s">
        <v>12</v>
      </c>
      <c r="BQ7" s="13" t="s">
        <v>12</v>
      </c>
      <c r="BR7" s="13" t="s">
        <v>12</v>
      </c>
      <c r="BS7" s="13" t="s">
        <v>12</v>
      </c>
      <c r="BT7" s="13" t="s">
        <v>12</v>
      </c>
      <c r="BU7" s="13" t="s">
        <v>12</v>
      </c>
      <c r="BV7" s="13" t="s">
        <v>12</v>
      </c>
      <c r="BW7" s="13" t="s">
        <v>12</v>
      </c>
      <c r="BX7" s="13" t="s">
        <v>12</v>
      </c>
      <c r="BY7" s="13" t="s">
        <v>12</v>
      </c>
      <c r="BZ7" s="13" t="s">
        <v>12</v>
      </c>
      <c r="CA7" s="13" t="s">
        <v>12</v>
      </c>
      <c r="CB7" s="13" t="s">
        <v>12</v>
      </c>
      <c r="CC7" s="13" t="s">
        <v>12</v>
      </c>
      <c r="CD7" s="13"/>
      <c r="CE7" s="13" t="s">
        <v>12</v>
      </c>
      <c r="CF7" s="13" t="s">
        <v>12</v>
      </c>
      <c r="CG7" s="13" t="s">
        <v>12</v>
      </c>
      <c r="CH7" s="13" t="s">
        <v>12</v>
      </c>
      <c r="CI7" s="13" t="s">
        <v>12</v>
      </c>
      <c r="CJ7" s="13" t="s">
        <v>12</v>
      </c>
      <c r="CK7" s="13" t="s">
        <v>12</v>
      </c>
      <c r="CL7" s="13" t="s">
        <v>12</v>
      </c>
      <c r="CM7" s="13" t="s">
        <v>12</v>
      </c>
      <c r="CN7" s="13" t="s">
        <v>12</v>
      </c>
      <c r="CO7" s="13" t="s">
        <v>12</v>
      </c>
    </row>
    <row r="8" spans="1:99" x14ac:dyDescent="0.25">
      <c r="A8" s="1">
        <v>8</v>
      </c>
      <c r="B8" s="1">
        <v>6</v>
      </c>
      <c r="C8" s="2" t="s">
        <v>19</v>
      </c>
      <c r="D8" s="3" t="s">
        <v>10</v>
      </c>
      <c r="E8" s="1" t="str">
        <f>D8</f>
        <v>m</v>
      </c>
      <c r="F8" s="1" t="str">
        <f t="shared" si="0"/>
        <v>I</v>
      </c>
      <c r="G8" s="1" t="str">
        <f t="shared" si="1"/>
        <v>C</v>
      </c>
      <c r="H8" s="1">
        <v>0</v>
      </c>
      <c r="I8" s="1">
        <v>1</v>
      </c>
      <c r="J8" s="8" t="s">
        <v>278</v>
      </c>
      <c r="K8" s="1">
        <v>1</v>
      </c>
      <c r="L8" s="1">
        <v>1</v>
      </c>
      <c r="M8" s="8">
        <v>2</v>
      </c>
      <c r="N8" s="8">
        <v>1</v>
      </c>
      <c r="O8" s="8">
        <v>1</v>
      </c>
      <c r="P8" s="1" t="s">
        <v>8</v>
      </c>
      <c r="Q8" s="3">
        <v>45665</v>
      </c>
      <c r="R8" s="3">
        <v>45666</v>
      </c>
      <c r="S8" s="3">
        <v>45656</v>
      </c>
      <c r="T8" s="3">
        <v>45657</v>
      </c>
      <c r="U8" s="1">
        <f t="shared" si="2"/>
        <v>9</v>
      </c>
      <c r="V8" s="3">
        <v>45682</v>
      </c>
      <c r="W8" s="1">
        <f>_xlfn.DAYS(V8,R8)</f>
        <v>16</v>
      </c>
      <c r="X8" s="3">
        <v>45687</v>
      </c>
      <c r="Y8" s="1">
        <f>_xlfn.DAYS(X8,R8)</f>
        <v>21</v>
      </c>
      <c r="Z8" s="1">
        <f>_xlfn.DAYS(BK8,X8)</f>
        <v>7</v>
      </c>
      <c r="AB8" s="3">
        <v>45697</v>
      </c>
      <c r="AD8" s="11" t="s">
        <v>86</v>
      </c>
      <c r="AE8" s="11">
        <v>45697</v>
      </c>
      <c r="AF8" s="1">
        <f t="shared" si="3"/>
        <v>31</v>
      </c>
      <c r="AG8" s="1">
        <v>0</v>
      </c>
      <c r="AH8" s="5">
        <v>0.98399999999999999</v>
      </c>
      <c r="AI8" s="1">
        <v>2</v>
      </c>
      <c r="AJ8" s="3">
        <v>45670</v>
      </c>
      <c r="AK8" s="5">
        <f>AL8-AH8</f>
        <v>5.1609999999999996</v>
      </c>
      <c r="AL8" s="5">
        <v>6.1449999999999996</v>
      </c>
      <c r="AM8" s="1">
        <v>2</v>
      </c>
      <c r="AN8" s="3">
        <f>V8+1</f>
        <v>45683</v>
      </c>
      <c r="AO8" s="5">
        <v>4.9370000000000003</v>
      </c>
      <c r="AP8" s="1">
        <v>1</v>
      </c>
      <c r="AQ8" s="3">
        <f>X8+1</f>
        <v>45688</v>
      </c>
      <c r="AR8" s="5">
        <f>AO8-AH8</f>
        <v>3.9530000000000003</v>
      </c>
      <c r="AS8" s="1">
        <v>20</v>
      </c>
      <c r="AT8" s="1">
        <v>35</v>
      </c>
      <c r="AU8" s="1">
        <v>67</v>
      </c>
      <c r="AV8" s="1">
        <f t="shared" si="4"/>
        <v>122</v>
      </c>
      <c r="AW8" s="1">
        <v>175</v>
      </c>
      <c r="AX8" s="1">
        <v>247</v>
      </c>
      <c r="AY8" s="1">
        <v>149</v>
      </c>
      <c r="AZ8" s="1">
        <f>SUM(AW8+AX8+AY8)</f>
        <v>571</v>
      </c>
      <c r="BA8" s="1">
        <v>0</v>
      </c>
      <c r="BB8" s="1">
        <v>0</v>
      </c>
      <c r="BC8" s="1" t="s">
        <v>12</v>
      </c>
      <c r="BD8" s="1" t="s">
        <v>12</v>
      </c>
      <c r="BE8" s="1" t="s">
        <v>12</v>
      </c>
      <c r="BF8" s="1" t="s">
        <v>12</v>
      </c>
      <c r="BG8" s="1" t="s">
        <v>12</v>
      </c>
      <c r="BH8" s="1" t="s">
        <v>12</v>
      </c>
      <c r="BI8" s="1">
        <f>BA8+BB8</f>
        <v>0</v>
      </c>
      <c r="BJ8" s="1">
        <f>AV8+AZ8+BI8</f>
        <v>693</v>
      </c>
      <c r="BK8" s="3">
        <v>45694</v>
      </c>
      <c r="BL8" s="6" t="s">
        <v>41</v>
      </c>
      <c r="BM8" s="1"/>
      <c r="BN8" s="20" t="s">
        <v>188</v>
      </c>
      <c r="BO8" s="13">
        <v>0</v>
      </c>
      <c r="BP8" s="13">
        <v>60</v>
      </c>
      <c r="BQ8" s="1">
        <v>7</v>
      </c>
      <c r="BR8" s="1">
        <v>1</v>
      </c>
      <c r="BS8" s="1">
        <f>BQ8+BR8</f>
        <v>8</v>
      </c>
      <c r="BT8" s="1">
        <v>1</v>
      </c>
      <c r="BU8" s="1">
        <v>0</v>
      </c>
      <c r="BV8" s="1">
        <f>BT8+BU8</f>
        <v>1</v>
      </c>
      <c r="BW8" s="1">
        <v>6</v>
      </c>
      <c r="BX8" s="1">
        <v>1</v>
      </c>
      <c r="BY8" s="1">
        <f>BW8+BX8</f>
        <v>7</v>
      </c>
      <c r="BZ8" s="1">
        <v>7</v>
      </c>
      <c r="CA8" s="1">
        <v>0</v>
      </c>
      <c r="CB8" s="1">
        <f>BZ8+CA8</f>
        <v>7</v>
      </c>
      <c r="CC8" s="1">
        <f>BS8+BV8+BY8+CB8</f>
        <v>23</v>
      </c>
      <c r="CE8" s="7">
        <f>CC8+CD8</f>
        <v>23</v>
      </c>
      <c r="CF8" s="8">
        <v>1</v>
      </c>
      <c r="CG8" s="8">
        <v>5</v>
      </c>
      <c r="CH8" s="8">
        <v>5</v>
      </c>
      <c r="CI8" s="8">
        <v>5</v>
      </c>
      <c r="CJ8" s="8">
        <v>5</v>
      </c>
      <c r="CK8" s="8">
        <v>0</v>
      </c>
      <c r="CL8" s="8">
        <v>0</v>
      </c>
      <c r="CM8" s="8">
        <v>0</v>
      </c>
      <c r="CN8" s="1">
        <f>CF8+CG8+CH8+CI8+CJ8+CK8+CL8+CM8</f>
        <v>21</v>
      </c>
      <c r="CO8" s="1">
        <f>CN8/CE8</f>
        <v>0.91304347826086951</v>
      </c>
      <c r="CP8" s="8">
        <v>4.6040000000000001</v>
      </c>
      <c r="CQ8" s="8">
        <v>5</v>
      </c>
      <c r="CR8" s="1">
        <f>CP8/CQ8</f>
        <v>0.92080000000000006</v>
      </c>
      <c r="CS8" s="1">
        <v>7.61</v>
      </c>
      <c r="CT8" s="8">
        <v>5</v>
      </c>
      <c r="CU8" s="1">
        <f>CS8/CT8</f>
        <v>1.522</v>
      </c>
    </row>
    <row r="9" spans="1:99" x14ac:dyDescent="0.25">
      <c r="A9" s="1">
        <v>9</v>
      </c>
      <c r="B9" s="1">
        <v>7</v>
      </c>
      <c r="C9" s="2" t="s">
        <v>20</v>
      </c>
      <c r="D9" s="3" t="s">
        <v>10</v>
      </c>
      <c r="E9" s="1" t="str">
        <f>D9</f>
        <v>m</v>
      </c>
      <c r="F9" s="1" t="str">
        <f t="shared" si="0"/>
        <v>C</v>
      </c>
      <c r="G9" s="1" t="str">
        <f t="shared" si="1"/>
        <v>A</v>
      </c>
      <c r="H9" s="1">
        <v>0</v>
      </c>
      <c r="I9" s="1">
        <v>0</v>
      </c>
      <c r="J9" s="8" t="s">
        <v>278</v>
      </c>
      <c r="K9" s="1">
        <v>1</v>
      </c>
      <c r="L9" s="1">
        <v>1</v>
      </c>
      <c r="M9" s="8">
        <v>3</v>
      </c>
      <c r="N9" s="8">
        <v>1</v>
      </c>
      <c r="O9" s="8">
        <v>1</v>
      </c>
      <c r="P9" s="1" t="s">
        <v>8</v>
      </c>
      <c r="Q9" s="3">
        <v>45665</v>
      </c>
      <c r="R9" s="3">
        <v>45666</v>
      </c>
      <c r="S9" s="3">
        <v>45656</v>
      </c>
      <c r="T9" s="3">
        <v>45657</v>
      </c>
      <c r="U9" s="1">
        <f t="shared" si="2"/>
        <v>9</v>
      </c>
      <c r="V9" s="3">
        <v>45682</v>
      </c>
      <c r="W9" s="1">
        <f>_xlfn.DAYS(V9,R9)</f>
        <v>16</v>
      </c>
      <c r="X9" s="3">
        <v>45687</v>
      </c>
      <c r="Y9" s="1">
        <f>_xlfn.DAYS(X9,R9)</f>
        <v>21</v>
      </c>
      <c r="Z9" s="1">
        <f>_xlfn.DAYS(BK9,X9)</f>
        <v>8</v>
      </c>
      <c r="AB9" s="3">
        <v>45698</v>
      </c>
      <c r="AD9" s="11" t="s">
        <v>86</v>
      </c>
      <c r="AE9" s="11">
        <v>45697</v>
      </c>
      <c r="AF9" s="1">
        <f t="shared" si="3"/>
        <v>31</v>
      </c>
      <c r="AG9" s="1">
        <v>0</v>
      </c>
      <c r="AH9" s="5">
        <v>0.97899999999999998</v>
      </c>
      <c r="AI9" s="1">
        <v>2</v>
      </c>
      <c r="AJ9" s="3">
        <v>45670</v>
      </c>
      <c r="AK9" s="5">
        <f>AL9-AH9</f>
        <v>5.0940000000000003</v>
      </c>
      <c r="AL9" s="5">
        <v>6.0730000000000004</v>
      </c>
      <c r="AM9" s="1">
        <v>2</v>
      </c>
      <c r="AN9" s="3">
        <f>V9+1</f>
        <v>45683</v>
      </c>
      <c r="AO9" s="5">
        <v>5.7679999999999998</v>
      </c>
      <c r="AP9" s="1">
        <v>1</v>
      </c>
      <c r="AQ9" s="3">
        <f>X9+1</f>
        <v>45688</v>
      </c>
      <c r="AR9" s="5">
        <f>AO9-AH9</f>
        <v>4.7889999999999997</v>
      </c>
      <c r="AS9" s="1">
        <v>10</v>
      </c>
      <c r="AT9" s="1">
        <v>33</v>
      </c>
      <c r="AU9" s="1">
        <v>59</v>
      </c>
      <c r="AV9" s="1">
        <f t="shared" si="4"/>
        <v>102</v>
      </c>
      <c r="AW9" s="1">
        <v>114</v>
      </c>
      <c r="AX9" s="1">
        <v>197</v>
      </c>
      <c r="AY9" s="1">
        <v>196</v>
      </c>
      <c r="AZ9" s="1">
        <f>SUM(AW9+AX9+AY9)</f>
        <v>507</v>
      </c>
      <c r="BA9" s="1">
        <v>0</v>
      </c>
      <c r="BB9" s="1">
        <v>0</v>
      </c>
      <c r="BC9" s="1" t="s">
        <v>12</v>
      </c>
      <c r="BD9" s="1" t="s">
        <v>12</v>
      </c>
      <c r="BE9" s="1" t="s">
        <v>12</v>
      </c>
      <c r="BF9" s="1" t="s">
        <v>12</v>
      </c>
      <c r="BG9" s="1" t="s">
        <v>12</v>
      </c>
      <c r="BH9" s="1" t="s">
        <v>12</v>
      </c>
      <c r="BI9" s="1">
        <f>BA9+BB9</f>
        <v>0</v>
      </c>
      <c r="BJ9" s="1">
        <f>AV9+AZ9+BI9</f>
        <v>609</v>
      </c>
      <c r="BK9" s="3">
        <v>45695</v>
      </c>
      <c r="BL9" s="6" t="s">
        <v>21</v>
      </c>
      <c r="BM9" s="6"/>
      <c r="BN9" s="6" t="s">
        <v>189</v>
      </c>
      <c r="BO9" s="13">
        <v>57.15</v>
      </c>
      <c r="BP9" s="13">
        <v>2.4500000000000002</v>
      </c>
      <c r="BQ9" s="1">
        <v>6</v>
      </c>
      <c r="BR9" s="1">
        <v>0</v>
      </c>
      <c r="BS9" s="1">
        <f>BQ9+BR9</f>
        <v>6</v>
      </c>
      <c r="BT9" s="1">
        <v>11</v>
      </c>
      <c r="BU9" s="1">
        <v>0</v>
      </c>
      <c r="BV9" s="1">
        <f>BT9+BU9</f>
        <v>11</v>
      </c>
      <c r="BW9" s="1">
        <v>14</v>
      </c>
      <c r="BX9" s="1">
        <v>0</v>
      </c>
      <c r="BY9" s="1">
        <f>BW9+BX9</f>
        <v>14</v>
      </c>
      <c r="BZ9" s="1">
        <v>8</v>
      </c>
      <c r="CA9" s="1">
        <v>0</v>
      </c>
      <c r="CB9" s="1">
        <f>BZ9+CA9</f>
        <v>8</v>
      </c>
      <c r="CC9" s="1">
        <f>BS9+BV9+BY9+CB9</f>
        <v>39</v>
      </c>
      <c r="CE9" s="7">
        <f>CC9+CD9</f>
        <v>39</v>
      </c>
      <c r="CF9" s="8">
        <v>2</v>
      </c>
      <c r="CG9" s="8">
        <v>4</v>
      </c>
      <c r="CH9" s="8">
        <v>4</v>
      </c>
      <c r="CI9" s="8">
        <v>8</v>
      </c>
      <c r="CJ9" s="8">
        <v>1</v>
      </c>
      <c r="CK9" s="8">
        <v>0</v>
      </c>
      <c r="CL9" s="8">
        <v>0</v>
      </c>
      <c r="CM9" s="8">
        <v>0</v>
      </c>
      <c r="CN9" s="1">
        <f>CF9+CG9+CH9+CI9+CJ9+CK9+CL9+CM9</f>
        <v>19</v>
      </c>
      <c r="CO9" s="1">
        <f>CN9/CE9</f>
        <v>0.48717948717948717</v>
      </c>
      <c r="CP9" s="8">
        <v>1.458</v>
      </c>
      <c r="CQ9" s="8">
        <v>3</v>
      </c>
      <c r="CR9" s="1">
        <f>CP9/CQ9</f>
        <v>0.48599999999999999</v>
      </c>
      <c r="CS9" s="1">
        <v>3.9849999999999999</v>
      </c>
      <c r="CT9" s="8">
        <v>4</v>
      </c>
      <c r="CU9" s="1">
        <f>CS9/CT9</f>
        <v>0.99624999999999997</v>
      </c>
    </row>
    <row r="10" spans="1:99" x14ac:dyDescent="0.25">
      <c r="A10" s="1">
        <v>10</v>
      </c>
      <c r="B10" s="1">
        <v>8</v>
      </c>
      <c r="C10" s="2" t="s">
        <v>22</v>
      </c>
      <c r="D10" s="3" t="s">
        <v>10</v>
      </c>
      <c r="E10" s="1" t="str">
        <f>D10</f>
        <v>m</v>
      </c>
      <c r="F10" s="1" t="str">
        <f t="shared" si="0"/>
        <v>I</v>
      </c>
      <c r="G10" s="1" t="str">
        <f t="shared" si="1"/>
        <v>C</v>
      </c>
      <c r="H10" s="1">
        <v>0</v>
      </c>
      <c r="I10" s="1">
        <v>1</v>
      </c>
      <c r="J10" s="8" t="s">
        <v>278</v>
      </c>
      <c r="K10" s="1">
        <v>1</v>
      </c>
      <c r="L10" s="1">
        <v>1</v>
      </c>
      <c r="M10" s="1">
        <v>3</v>
      </c>
      <c r="N10" s="8">
        <v>2</v>
      </c>
      <c r="O10" s="8">
        <v>1</v>
      </c>
      <c r="P10" s="1" t="s">
        <v>8</v>
      </c>
      <c r="Q10" s="3">
        <v>45665</v>
      </c>
      <c r="R10" s="3">
        <v>45666</v>
      </c>
      <c r="S10" s="3">
        <v>45656</v>
      </c>
      <c r="T10" s="3">
        <v>45657</v>
      </c>
      <c r="U10" s="1">
        <f t="shared" si="2"/>
        <v>9</v>
      </c>
      <c r="V10" s="3">
        <v>45685</v>
      </c>
      <c r="W10" s="1">
        <f>_xlfn.DAYS(V10,R10)</f>
        <v>19</v>
      </c>
      <c r="X10" s="3">
        <v>45690</v>
      </c>
      <c r="Y10" s="1">
        <f>_xlfn.DAYS(X10,R10)</f>
        <v>24</v>
      </c>
      <c r="Z10" s="1">
        <f>_xlfn.DAYS(BK10,X10)</f>
        <v>7</v>
      </c>
      <c r="AB10" s="3">
        <v>45699</v>
      </c>
      <c r="AD10" s="11" t="s">
        <v>86</v>
      </c>
      <c r="AE10" s="11">
        <v>45697</v>
      </c>
      <c r="AF10" s="1">
        <f t="shared" si="3"/>
        <v>31</v>
      </c>
      <c r="AG10" s="1">
        <v>0</v>
      </c>
      <c r="AH10" s="5">
        <v>0.69499999999999995</v>
      </c>
      <c r="AI10" s="1">
        <v>2</v>
      </c>
      <c r="AJ10" s="3">
        <v>45670</v>
      </c>
      <c r="AK10" s="5">
        <f>AL10-AH10</f>
        <v>5.6769999999999996</v>
      </c>
      <c r="AL10" s="5">
        <v>6.3719999999999999</v>
      </c>
      <c r="AM10" s="1">
        <v>1</v>
      </c>
      <c r="AN10" s="3">
        <f>V10+1</f>
        <v>45686</v>
      </c>
      <c r="AO10" s="5">
        <v>5.77</v>
      </c>
      <c r="AP10" s="1">
        <v>2</v>
      </c>
      <c r="AQ10" s="3">
        <f>X10+1</f>
        <v>45691</v>
      </c>
      <c r="AR10" s="5">
        <f>AO10-AH10</f>
        <v>5.0749999999999993</v>
      </c>
      <c r="AS10" s="1">
        <v>9</v>
      </c>
      <c r="AT10" s="1">
        <v>14</v>
      </c>
      <c r="AU10" s="1">
        <v>78</v>
      </c>
      <c r="AV10" s="1">
        <f t="shared" si="4"/>
        <v>101</v>
      </c>
      <c r="AW10" s="1">
        <v>13</v>
      </c>
      <c r="AX10" s="1">
        <v>47</v>
      </c>
      <c r="AY10" s="1">
        <v>206</v>
      </c>
      <c r="AZ10" s="1">
        <f>SUM(AW10+AX10+AY10)</f>
        <v>266</v>
      </c>
      <c r="BA10" s="1">
        <v>230</v>
      </c>
      <c r="BB10" s="1">
        <v>50</v>
      </c>
      <c r="BC10" s="1">
        <v>0</v>
      </c>
      <c r="BD10" s="1">
        <v>0</v>
      </c>
      <c r="BE10" s="1" t="s">
        <v>12</v>
      </c>
      <c r="BF10" s="1" t="s">
        <v>12</v>
      </c>
      <c r="BG10" s="1" t="s">
        <v>12</v>
      </c>
      <c r="BH10" s="1" t="s">
        <v>12</v>
      </c>
      <c r="BI10" s="1">
        <f>BA10+BB10+BC10+BD10</f>
        <v>280</v>
      </c>
      <c r="BJ10" s="1">
        <f>AV10+AZ10+BI10</f>
        <v>647</v>
      </c>
      <c r="BK10" s="3">
        <v>45697</v>
      </c>
      <c r="BL10" s="6" t="s">
        <v>23</v>
      </c>
      <c r="BM10" s="6"/>
      <c r="BN10" s="6" t="s">
        <v>211</v>
      </c>
      <c r="BO10" s="13">
        <v>54.32</v>
      </c>
      <c r="BP10" s="13">
        <v>5.28</v>
      </c>
      <c r="BQ10" s="1">
        <v>5</v>
      </c>
      <c r="BR10" s="1">
        <v>0</v>
      </c>
      <c r="BS10" s="1">
        <f>BQ10+BR10</f>
        <v>5</v>
      </c>
      <c r="BT10" s="1">
        <v>9</v>
      </c>
      <c r="BU10" s="1">
        <v>0</v>
      </c>
      <c r="BV10" s="1">
        <f>BT10+BU10</f>
        <v>9</v>
      </c>
      <c r="BW10" s="1">
        <v>13</v>
      </c>
      <c r="BX10" s="1">
        <v>0</v>
      </c>
      <c r="BY10" s="1">
        <f>BW10+BX10</f>
        <v>13</v>
      </c>
      <c r="BZ10" s="1">
        <v>15</v>
      </c>
      <c r="CA10" s="1">
        <v>0</v>
      </c>
      <c r="CB10" s="1">
        <f>BZ10+CA10</f>
        <v>15</v>
      </c>
      <c r="CC10" s="1">
        <f>BS10+BV10+BY10+CB10</f>
        <v>42</v>
      </c>
      <c r="CE10" s="7">
        <f>CC10+CD10</f>
        <v>42</v>
      </c>
      <c r="CF10" s="8">
        <v>4</v>
      </c>
      <c r="CG10" s="8">
        <v>7</v>
      </c>
      <c r="CH10" s="8">
        <v>10</v>
      </c>
      <c r="CI10" s="8">
        <v>18</v>
      </c>
      <c r="CJ10" s="8">
        <v>3</v>
      </c>
      <c r="CK10" s="8">
        <v>0</v>
      </c>
      <c r="CL10" s="8">
        <v>0</v>
      </c>
      <c r="CM10" s="8">
        <v>0</v>
      </c>
      <c r="CN10" s="1">
        <f>CF10+CG10+CH10+CI10+CJ10+CK10+CL10+CM10</f>
        <v>42</v>
      </c>
      <c r="CO10" s="1">
        <f>CN10/CE10</f>
        <v>1</v>
      </c>
      <c r="CP10" s="8">
        <v>1.173</v>
      </c>
      <c r="CQ10" s="8">
        <v>3</v>
      </c>
      <c r="CR10" s="1">
        <f>CP10/CQ10</f>
        <v>0.39100000000000001</v>
      </c>
      <c r="CS10" s="1">
        <v>3.3679999999999999</v>
      </c>
      <c r="CT10" s="8">
        <v>5</v>
      </c>
      <c r="CU10" s="1">
        <f>CS10/CT10</f>
        <v>0.67359999999999998</v>
      </c>
    </row>
    <row r="11" spans="1:99" x14ac:dyDescent="0.25">
      <c r="A11" s="1">
        <v>11</v>
      </c>
      <c r="B11" s="1">
        <v>9</v>
      </c>
      <c r="C11" s="2" t="s">
        <v>24</v>
      </c>
      <c r="D11" s="1" t="s">
        <v>280</v>
      </c>
      <c r="E11" s="1" t="s">
        <v>12</v>
      </c>
      <c r="F11" s="1" t="str">
        <f t="shared" si="0"/>
        <v>M</v>
      </c>
      <c r="G11" s="1" t="str">
        <f t="shared" si="1"/>
        <v>D</v>
      </c>
      <c r="H11" s="1">
        <v>1</v>
      </c>
      <c r="I11" s="1">
        <v>1</v>
      </c>
      <c r="J11" s="8" t="s">
        <v>276</v>
      </c>
      <c r="K11" s="1">
        <v>1</v>
      </c>
      <c r="L11" s="1">
        <v>1</v>
      </c>
      <c r="M11" s="1">
        <v>2</v>
      </c>
      <c r="N11" s="8">
        <v>2</v>
      </c>
      <c r="O11" s="8"/>
      <c r="P11" s="1" t="s">
        <v>8</v>
      </c>
      <c r="Q11" s="3">
        <v>45665</v>
      </c>
      <c r="R11" s="3">
        <v>45666</v>
      </c>
      <c r="S11" s="3">
        <v>45656</v>
      </c>
      <c r="T11" s="3">
        <v>45657</v>
      </c>
      <c r="U11" s="1">
        <f t="shared" si="2"/>
        <v>9</v>
      </c>
      <c r="V11" s="1" t="s">
        <v>12</v>
      </c>
      <c r="W11" s="1" t="s">
        <v>12</v>
      </c>
      <c r="X11" s="1" t="s">
        <v>12</v>
      </c>
      <c r="Y11" s="1" t="s">
        <v>12</v>
      </c>
      <c r="AA11" s="3">
        <v>45674</v>
      </c>
      <c r="AE11" s="11">
        <f>AA11</f>
        <v>45674</v>
      </c>
      <c r="AF11" s="1">
        <f t="shared" si="3"/>
        <v>8</v>
      </c>
      <c r="AG11" s="1">
        <v>1</v>
      </c>
      <c r="AH11" s="5">
        <v>0.55500000000000005</v>
      </c>
      <c r="AI11" s="1">
        <v>2</v>
      </c>
      <c r="AJ11" s="3">
        <v>45670</v>
      </c>
      <c r="AK11" s="5" t="s">
        <v>12</v>
      </c>
      <c r="AL11" s="5" t="s">
        <v>12</v>
      </c>
      <c r="AM11" s="5" t="s">
        <v>12</v>
      </c>
      <c r="AN11" s="3" t="s">
        <v>12</v>
      </c>
      <c r="AO11" s="5" t="s">
        <v>12</v>
      </c>
      <c r="AP11" s="5" t="s">
        <v>12</v>
      </c>
      <c r="AQ11" s="3" t="s">
        <v>12</v>
      </c>
      <c r="AR11" s="1" t="s">
        <v>12</v>
      </c>
      <c r="AS11" s="1">
        <v>8</v>
      </c>
      <c r="AT11" s="1">
        <v>9</v>
      </c>
      <c r="AU11" s="1">
        <v>21</v>
      </c>
      <c r="AV11" s="1">
        <f t="shared" si="4"/>
        <v>38</v>
      </c>
      <c r="AW11" s="1">
        <v>0</v>
      </c>
      <c r="AX11" s="1" t="s">
        <v>12</v>
      </c>
      <c r="AY11" s="1" t="s">
        <v>12</v>
      </c>
      <c r="AZ11" s="1">
        <v>0</v>
      </c>
      <c r="BA11" s="1" t="s">
        <v>12</v>
      </c>
      <c r="BB11" s="1" t="s">
        <v>12</v>
      </c>
      <c r="BC11" s="1" t="s">
        <v>12</v>
      </c>
      <c r="BD11" s="1" t="s">
        <v>12</v>
      </c>
      <c r="BE11" s="1" t="s">
        <v>12</v>
      </c>
      <c r="BF11" s="1" t="s">
        <v>12</v>
      </c>
      <c r="BG11" s="1" t="s">
        <v>12</v>
      </c>
      <c r="BH11" s="1" t="s">
        <v>12</v>
      </c>
      <c r="BI11" s="1" t="s">
        <v>12</v>
      </c>
      <c r="BJ11" s="1" t="s">
        <v>12</v>
      </c>
      <c r="BK11" s="3" t="s">
        <v>12</v>
      </c>
      <c r="BL11" s="10" t="s">
        <v>12</v>
      </c>
      <c r="BM11" s="10" t="s">
        <v>12</v>
      </c>
      <c r="BN11" s="14" t="s">
        <v>12</v>
      </c>
      <c r="BO11" s="13" t="s">
        <v>12</v>
      </c>
      <c r="BP11" s="13" t="s">
        <v>12</v>
      </c>
      <c r="BQ11" s="13" t="s">
        <v>12</v>
      </c>
      <c r="BR11" s="13" t="s">
        <v>12</v>
      </c>
      <c r="BS11" s="13" t="s">
        <v>12</v>
      </c>
      <c r="BT11" s="13" t="s">
        <v>12</v>
      </c>
      <c r="BU11" s="13" t="s">
        <v>12</v>
      </c>
      <c r="BV11" s="13" t="s">
        <v>12</v>
      </c>
      <c r="BW11" s="13" t="s">
        <v>12</v>
      </c>
      <c r="BX11" s="13" t="s">
        <v>12</v>
      </c>
      <c r="BY11" s="13" t="s">
        <v>12</v>
      </c>
      <c r="BZ11" s="13" t="s">
        <v>12</v>
      </c>
      <c r="CA11" s="13" t="s">
        <v>12</v>
      </c>
      <c r="CB11" s="13" t="s">
        <v>12</v>
      </c>
      <c r="CC11" s="13" t="s">
        <v>12</v>
      </c>
      <c r="CD11" s="13"/>
      <c r="CE11" s="13" t="s">
        <v>12</v>
      </c>
      <c r="CF11" s="13" t="s">
        <v>12</v>
      </c>
      <c r="CG11" s="13" t="s">
        <v>12</v>
      </c>
      <c r="CH11" s="13" t="s">
        <v>12</v>
      </c>
      <c r="CI11" s="13" t="s">
        <v>12</v>
      </c>
      <c r="CJ11" s="13" t="s">
        <v>12</v>
      </c>
      <c r="CK11" s="13" t="s">
        <v>12</v>
      </c>
      <c r="CL11" s="13" t="s">
        <v>12</v>
      </c>
      <c r="CM11" s="13" t="s">
        <v>12</v>
      </c>
      <c r="CN11" s="13" t="s">
        <v>12</v>
      </c>
      <c r="CO11" s="13" t="s">
        <v>12</v>
      </c>
    </row>
    <row r="12" spans="1:99" x14ac:dyDescent="0.25">
      <c r="A12" s="1">
        <v>12</v>
      </c>
      <c r="B12" s="1">
        <v>10</v>
      </c>
      <c r="C12" s="2" t="s">
        <v>25</v>
      </c>
      <c r="D12" s="3" t="s">
        <v>10</v>
      </c>
      <c r="E12" s="1" t="str">
        <f>D12</f>
        <v>m</v>
      </c>
      <c r="F12" s="1" t="str">
        <f t="shared" si="0"/>
        <v>A</v>
      </c>
      <c r="G12" s="1" t="str">
        <f t="shared" si="1"/>
        <v>B</v>
      </c>
      <c r="H12" s="1">
        <v>1</v>
      </c>
      <c r="I12" s="1">
        <v>0</v>
      </c>
      <c r="J12" s="8" t="s">
        <v>278</v>
      </c>
      <c r="K12" s="1">
        <v>1</v>
      </c>
      <c r="L12" s="1">
        <v>1</v>
      </c>
      <c r="M12" s="1">
        <v>1</v>
      </c>
      <c r="N12" s="8">
        <v>2</v>
      </c>
      <c r="O12" s="8">
        <v>1</v>
      </c>
      <c r="P12" s="1" t="s">
        <v>8</v>
      </c>
      <c r="Q12" s="3">
        <v>45665</v>
      </c>
      <c r="R12" s="3">
        <v>45666</v>
      </c>
      <c r="S12" s="3">
        <v>45656</v>
      </c>
      <c r="T12" s="3">
        <v>45657</v>
      </c>
      <c r="U12" s="1">
        <f t="shared" si="2"/>
        <v>9</v>
      </c>
      <c r="V12" s="3">
        <v>45683</v>
      </c>
      <c r="W12" s="1">
        <f>_xlfn.DAYS(V12,R12)</f>
        <v>17</v>
      </c>
      <c r="X12" s="3">
        <v>45688</v>
      </c>
      <c r="Y12" s="1">
        <f>_xlfn.DAYS(X12,R12)</f>
        <v>22</v>
      </c>
      <c r="AB12" s="3">
        <v>45698</v>
      </c>
      <c r="AD12" s="11" t="s">
        <v>86</v>
      </c>
      <c r="AE12" s="11">
        <v>45697</v>
      </c>
      <c r="AF12" s="1">
        <f t="shared" si="3"/>
        <v>31</v>
      </c>
      <c r="AG12" s="1">
        <v>0</v>
      </c>
      <c r="AH12" s="5">
        <v>0.70299999999999996</v>
      </c>
      <c r="AI12" s="1">
        <v>1</v>
      </c>
      <c r="AJ12" s="3">
        <v>45670</v>
      </c>
      <c r="AK12" s="5">
        <f>AL12-AH12</f>
        <v>6.7789999999999999</v>
      </c>
      <c r="AL12" s="5">
        <v>7.4820000000000002</v>
      </c>
      <c r="AM12" s="1">
        <v>2</v>
      </c>
      <c r="AN12" s="3">
        <f>V12+1</f>
        <v>45684</v>
      </c>
      <c r="AO12" s="1">
        <v>7.1239999999999997</v>
      </c>
      <c r="AP12" s="1">
        <v>2</v>
      </c>
      <c r="AQ12" s="3">
        <f>X12+1</f>
        <v>45689</v>
      </c>
      <c r="AR12" s="5">
        <f>AO12-AH12</f>
        <v>6.4209999999999994</v>
      </c>
      <c r="AS12" s="1">
        <v>19</v>
      </c>
      <c r="AT12" s="1">
        <v>17</v>
      </c>
      <c r="AU12" s="1">
        <v>101</v>
      </c>
      <c r="AV12" s="1">
        <f t="shared" si="4"/>
        <v>137</v>
      </c>
      <c r="AW12" s="1">
        <v>54</v>
      </c>
      <c r="AX12" s="1">
        <v>356</v>
      </c>
      <c r="AY12" s="1">
        <v>200</v>
      </c>
      <c r="AZ12" s="1">
        <f>SUM(AW12+AX12+AY12)</f>
        <v>610</v>
      </c>
      <c r="BA12" s="1">
        <v>12</v>
      </c>
      <c r="BB12" s="1">
        <v>1</v>
      </c>
      <c r="BC12" s="1">
        <v>0</v>
      </c>
      <c r="BD12" s="1" t="s">
        <v>12</v>
      </c>
      <c r="BE12" s="1" t="s">
        <v>12</v>
      </c>
      <c r="BF12" s="1" t="s">
        <v>12</v>
      </c>
      <c r="BG12" s="1" t="s">
        <v>12</v>
      </c>
      <c r="BH12" s="1" t="s">
        <v>12</v>
      </c>
      <c r="BI12" s="1">
        <f>BA12+BB12+BC12</f>
        <v>13</v>
      </c>
      <c r="BJ12" s="1">
        <f>AV12+AZ12+BI12</f>
        <v>760</v>
      </c>
      <c r="BK12" s="3" t="s">
        <v>12</v>
      </c>
      <c r="BL12" s="10" t="s">
        <v>12</v>
      </c>
      <c r="BM12" s="10" t="s">
        <v>12</v>
      </c>
      <c r="BN12" s="14" t="s">
        <v>12</v>
      </c>
      <c r="BO12" s="13" t="s">
        <v>12</v>
      </c>
      <c r="BP12" s="13" t="s">
        <v>12</v>
      </c>
      <c r="BQ12" s="13" t="s">
        <v>12</v>
      </c>
      <c r="BR12" s="13" t="s">
        <v>12</v>
      </c>
      <c r="BS12" s="13" t="s">
        <v>12</v>
      </c>
      <c r="BT12" s="13" t="s">
        <v>12</v>
      </c>
      <c r="BU12" s="13" t="s">
        <v>12</v>
      </c>
      <c r="BV12" s="13" t="s">
        <v>12</v>
      </c>
      <c r="BW12" s="13" t="s">
        <v>12</v>
      </c>
      <c r="BX12" s="13" t="s">
        <v>12</v>
      </c>
      <c r="BY12" s="13" t="s">
        <v>12</v>
      </c>
      <c r="BZ12" s="13" t="s">
        <v>12</v>
      </c>
      <c r="CA12" s="13" t="s">
        <v>12</v>
      </c>
      <c r="CB12" s="13" t="s">
        <v>12</v>
      </c>
      <c r="CC12" s="13" t="s">
        <v>12</v>
      </c>
      <c r="CD12" s="13"/>
      <c r="CE12" s="13" t="s">
        <v>12</v>
      </c>
      <c r="CF12" s="13" t="s">
        <v>12</v>
      </c>
      <c r="CG12" s="13" t="s">
        <v>12</v>
      </c>
      <c r="CH12" s="13" t="s">
        <v>12</v>
      </c>
      <c r="CI12" s="13" t="s">
        <v>12</v>
      </c>
      <c r="CJ12" s="13" t="s">
        <v>12</v>
      </c>
      <c r="CK12" s="13" t="s">
        <v>12</v>
      </c>
      <c r="CL12" s="13" t="s">
        <v>12</v>
      </c>
      <c r="CM12" s="13" t="s">
        <v>12</v>
      </c>
      <c r="CN12" s="13" t="s">
        <v>12</v>
      </c>
      <c r="CO12" s="13" t="s">
        <v>12</v>
      </c>
    </row>
    <row r="13" spans="1:99" x14ac:dyDescent="0.25">
      <c r="A13" s="1">
        <v>13</v>
      </c>
      <c r="B13" s="1">
        <v>11</v>
      </c>
      <c r="C13" s="2" t="s">
        <v>26</v>
      </c>
      <c r="D13" s="3" t="s">
        <v>27</v>
      </c>
      <c r="E13" s="1" t="str">
        <f>D13</f>
        <v>f</v>
      </c>
      <c r="F13" s="1" t="str">
        <f t="shared" si="0"/>
        <v>C</v>
      </c>
      <c r="G13" s="1" t="str">
        <f t="shared" si="1"/>
        <v>A</v>
      </c>
      <c r="H13" s="1">
        <v>0</v>
      </c>
      <c r="I13" s="1">
        <v>0</v>
      </c>
      <c r="J13" s="8" t="s">
        <v>278</v>
      </c>
      <c r="K13" s="1">
        <v>1</v>
      </c>
      <c r="L13" s="1">
        <v>1</v>
      </c>
      <c r="M13" s="8">
        <v>0</v>
      </c>
      <c r="N13" s="8">
        <v>2</v>
      </c>
      <c r="O13" s="8">
        <v>1</v>
      </c>
      <c r="P13" s="1" t="s">
        <v>8</v>
      </c>
      <c r="Q13" s="3">
        <v>45665</v>
      </c>
      <c r="R13" s="3">
        <v>45666</v>
      </c>
      <c r="S13" s="3">
        <v>45656</v>
      </c>
      <c r="T13" s="3">
        <v>45657</v>
      </c>
      <c r="U13" s="1">
        <f t="shared" si="2"/>
        <v>9</v>
      </c>
      <c r="V13" s="3">
        <v>45682</v>
      </c>
      <c r="W13" s="1">
        <f>_xlfn.DAYS(V13,R13)</f>
        <v>16</v>
      </c>
      <c r="X13" s="3">
        <v>45687</v>
      </c>
      <c r="Y13" s="1">
        <f>_xlfn.DAYS(X13,R13)</f>
        <v>21</v>
      </c>
      <c r="Z13" s="1">
        <f>_xlfn.DAYS(BK13,X13)</f>
        <v>7</v>
      </c>
      <c r="AB13" s="3">
        <v>45700</v>
      </c>
      <c r="AD13" s="11" t="s">
        <v>86</v>
      </c>
      <c r="AE13" s="11">
        <v>45697</v>
      </c>
      <c r="AF13" s="1">
        <f t="shared" si="3"/>
        <v>31</v>
      </c>
      <c r="AG13" s="1">
        <v>0</v>
      </c>
      <c r="AH13" s="5">
        <v>1.665</v>
      </c>
      <c r="AI13" s="1">
        <v>1</v>
      </c>
      <c r="AJ13" s="3">
        <v>45670</v>
      </c>
      <c r="AK13" s="5">
        <f>AL13-AH13</f>
        <v>8.2369999999999983</v>
      </c>
      <c r="AL13" s="5">
        <v>9.9019999999999992</v>
      </c>
      <c r="AM13" s="1">
        <v>2</v>
      </c>
      <c r="AN13" s="3">
        <f>V13+1</f>
        <v>45683</v>
      </c>
      <c r="AO13" s="1">
        <v>9.6020000000000003</v>
      </c>
      <c r="AP13" s="1">
        <v>1</v>
      </c>
      <c r="AQ13" s="3">
        <f>X13+1</f>
        <v>45688</v>
      </c>
      <c r="AR13" s="5">
        <f>AO13-AH13</f>
        <v>7.9370000000000003</v>
      </c>
      <c r="AS13" s="1">
        <v>17</v>
      </c>
      <c r="AT13" s="1">
        <v>58</v>
      </c>
      <c r="AU13" s="1">
        <v>127</v>
      </c>
      <c r="AV13" s="1">
        <f t="shared" si="4"/>
        <v>202</v>
      </c>
      <c r="AW13" s="1">
        <v>233</v>
      </c>
      <c r="AX13" s="1">
        <v>433</v>
      </c>
      <c r="AY13" s="1">
        <v>84</v>
      </c>
      <c r="AZ13" s="1">
        <f>SUM(AW13+AX13+AY13)</f>
        <v>750</v>
      </c>
      <c r="BA13" s="1">
        <v>0</v>
      </c>
      <c r="BB13" s="1">
        <v>0</v>
      </c>
      <c r="BC13" s="1" t="s">
        <v>12</v>
      </c>
      <c r="BD13" s="1" t="s">
        <v>12</v>
      </c>
      <c r="BE13" s="1" t="s">
        <v>12</v>
      </c>
      <c r="BF13" s="1" t="s">
        <v>12</v>
      </c>
      <c r="BG13" s="1" t="s">
        <v>12</v>
      </c>
      <c r="BH13" s="1" t="s">
        <v>12</v>
      </c>
      <c r="BI13" s="1">
        <f>BA13+BB13</f>
        <v>0</v>
      </c>
      <c r="BJ13" s="1">
        <f>AV13+AZ13+BI13</f>
        <v>952</v>
      </c>
      <c r="BK13" s="3">
        <v>45694</v>
      </c>
      <c r="BL13" s="6"/>
      <c r="BM13" s="6" t="s">
        <v>28</v>
      </c>
      <c r="BN13" s="6" t="s">
        <v>187</v>
      </c>
      <c r="BO13" s="13">
        <v>56.2</v>
      </c>
      <c r="BP13" s="13">
        <v>3.4</v>
      </c>
      <c r="BQ13" s="1">
        <v>9</v>
      </c>
      <c r="BR13" s="1">
        <v>1</v>
      </c>
      <c r="BS13" s="1">
        <f>BQ13+BR13</f>
        <v>10</v>
      </c>
      <c r="BT13" s="1">
        <v>12</v>
      </c>
      <c r="BU13" s="1">
        <v>0</v>
      </c>
      <c r="BV13" s="1">
        <f>BT13+BU13</f>
        <v>12</v>
      </c>
      <c r="BW13" s="1">
        <v>14</v>
      </c>
      <c r="BX13" s="1">
        <v>0</v>
      </c>
      <c r="BY13" s="1">
        <f>BW13+BX13</f>
        <v>14</v>
      </c>
      <c r="BZ13" s="1">
        <v>17</v>
      </c>
      <c r="CA13" s="1">
        <v>0</v>
      </c>
      <c r="CB13" s="1">
        <f>BZ13+CA13</f>
        <v>17</v>
      </c>
      <c r="CC13" s="1">
        <f>BS13+BV13+BY13+CB13</f>
        <v>53</v>
      </c>
      <c r="CE13" s="7">
        <f>CC13+CD13</f>
        <v>53</v>
      </c>
      <c r="CF13" s="8">
        <v>2</v>
      </c>
      <c r="CG13" s="8">
        <v>7</v>
      </c>
      <c r="CH13" s="8">
        <v>6</v>
      </c>
      <c r="CI13" s="8">
        <v>8</v>
      </c>
      <c r="CJ13" s="8">
        <v>3</v>
      </c>
      <c r="CK13" s="8">
        <v>0</v>
      </c>
      <c r="CL13" s="8">
        <v>0</v>
      </c>
      <c r="CM13" s="8">
        <v>0</v>
      </c>
      <c r="CN13" s="1">
        <f>CF13+CG13+CH13+CI13+CJ13+CK13+CL13+CM13</f>
        <v>26</v>
      </c>
      <c r="CO13" s="1">
        <f>CN13/CE13</f>
        <v>0.49056603773584906</v>
      </c>
      <c r="CP13" s="8">
        <v>4.47</v>
      </c>
      <c r="CQ13" s="8">
        <v>4</v>
      </c>
      <c r="CR13" s="1">
        <f>CP13/CQ13</f>
        <v>1.1174999999999999</v>
      </c>
      <c r="CS13" s="1">
        <v>3.7389999999999999</v>
      </c>
      <c r="CT13" s="8">
        <v>5</v>
      </c>
      <c r="CU13" s="1">
        <f>CS13/CT13</f>
        <v>0.74780000000000002</v>
      </c>
    </row>
    <row r="14" spans="1:99" x14ac:dyDescent="0.25">
      <c r="A14" s="1">
        <v>14</v>
      </c>
      <c r="B14" s="1">
        <v>12</v>
      </c>
      <c r="C14" s="2" t="s">
        <v>29</v>
      </c>
      <c r="D14" s="1" t="s">
        <v>280</v>
      </c>
      <c r="E14" s="1" t="s">
        <v>12</v>
      </c>
      <c r="F14" s="1" t="str">
        <f t="shared" si="0"/>
        <v>I</v>
      </c>
      <c r="G14" s="1" t="str">
        <f t="shared" si="1"/>
        <v>C</v>
      </c>
      <c r="H14" s="1">
        <v>0</v>
      </c>
      <c r="I14" s="1">
        <v>1</v>
      </c>
      <c r="J14" s="8" t="s">
        <v>278</v>
      </c>
      <c r="K14" s="1">
        <v>1</v>
      </c>
      <c r="L14" s="1">
        <v>1</v>
      </c>
      <c r="M14" s="8">
        <v>0</v>
      </c>
      <c r="N14" s="8">
        <v>3</v>
      </c>
      <c r="O14" s="8"/>
      <c r="P14" s="1" t="s">
        <v>8</v>
      </c>
      <c r="Q14" s="3">
        <v>45665</v>
      </c>
      <c r="R14" s="3">
        <v>45666</v>
      </c>
      <c r="S14" s="3">
        <v>45656</v>
      </c>
      <c r="T14" s="3">
        <v>45657</v>
      </c>
      <c r="U14" s="1">
        <f t="shared" si="2"/>
        <v>9</v>
      </c>
      <c r="V14" s="3">
        <v>45683</v>
      </c>
      <c r="W14" s="1">
        <f>_xlfn.DAYS(V14,R14)</f>
        <v>17</v>
      </c>
      <c r="X14" s="3">
        <v>45690</v>
      </c>
      <c r="Y14" s="1">
        <f>_xlfn.DAYS(X14,R14)</f>
        <v>24</v>
      </c>
      <c r="AA14" s="3">
        <v>45691</v>
      </c>
      <c r="AD14" s="11"/>
      <c r="AE14" s="11">
        <f>AA14</f>
        <v>45691</v>
      </c>
      <c r="AF14" s="1">
        <f t="shared" si="3"/>
        <v>25</v>
      </c>
      <c r="AG14" s="1">
        <v>1</v>
      </c>
      <c r="AH14" s="5">
        <v>0.99399999999999999</v>
      </c>
      <c r="AI14" s="1">
        <v>1</v>
      </c>
      <c r="AJ14" s="3">
        <v>45670</v>
      </c>
      <c r="AK14" s="5">
        <f>AL14-AH14</f>
        <v>8.7170000000000005</v>
      </c>
      <c r="AL14" s="5">
        <v>9.7110000000000003</v>
      </c>
      <c r="AM14" s="1">
        <v>2</v>
      </c>
      <c r="AN14" s="3">
        <f>V14+1</f>
        <v>45684</v>
      </c>
      <c r="AO14" s="1" t="s">
        <v>12</v>
      </c>
      <c r="AP14" s="1" t="s">
        <v>12</v>
      </c>
      <c r="AQ14" s="3" t="s">
        <v>12</v>
      </c>
      <c r="AR14" s="1" t="s">
        <v>12</v>
      </c>
      <c r="AS14" s="1">
        <v>12</v>
      </c>
      <c r="AT14" s="1">
        <v>31</v>
      </c>
      <c r="AU14" s="1">
        <v>47</v>
      </c>
      <c r="AV14" s="1">
        <f t="shared" si="4"/>
        <v>90</v>
      </c>
      <c r="AW14" s="1">
        <v>85</v>
      </c>
      <c r="AX14" s="1">
        <v>168</v>
      </c>
      <c r="AY14" s="1">
        <v>340</v>
      </c>
      <c r="AZ14" s="1">
        <f>SUM(AW14+AX14+AY14)</f>
        <v>593</v>
      </c>
      <c r="BA14" s="1">
        <v>25</v>
      </c>
      <c r="BB14" s="1">
        <v>0</v>
      </c>
      <c r="BC14" s="1">
        <v>0</v>
      </c>
      <c r="BD14" s="8" t="s">
        <v>12</v>
      </c>
      <c r="BE14" s="8" t="s">
        <v>12</v>
      </c>
      <c r="BF14" s="1" t="s">
        <v>12</v>
      </c>
      <c r="BG14" s="1" t="s">
        <v>12</v>
      </c>
      <c r="BH14" s="1" t="s">
        <v>12</v>
      </c>
      <c r="BI14" s="1">
        <f>BA14+BB14+BC14</f>
        <v>25</v>
      </c>
      <c r="BJ14" s="1">
        <f>AV14+AZ14+BI14</f>
        <v>708</v>
      </c>
      <c r="BK14" s="3" t="s">
        <v>12</v>
      </c>
      <c r="BL14" s="10" t="s">
        <v>12</v>
      </c>
      <c r="BM14" s="10" t="s">
        <v>12</v>
      </c>
      <c r="BN14" s="14" t="s">
        <v>12</v>
      </c>
      <c r="BO14" s="13" t="s">
        <v>12</v>
      </c>
      <c r="BP14" s="13" t="s">
        <v>12</v>
      </c>
      <c r="BQ14" s="13" t="s">
        <v>12</v>
      </c>
      <c r="BR14" s="13" t="s">
        <v>12</v>
      </c>
      <c r="BS14" s="13" t="s">
        <v>12</v>
      </c>
      <c r="BT14" s="13" t="s">
        <v>12</v>
      </c>
      <c r="BU14" s="13" t="s">
        <v>12</v>
      </c>
      <c r="BV14" s="13" t="s">
        <v>12</v>
      </c>
      <c r="BW14" s="13" t="s">
        <v>12</v>
      </c>
      <c r="BX14" s="13" t="s">
        <v>12</v>
      </c>
      <c r="BY14" s="13" t="s">
        <v>12</v>
      </c>
      <c r="BZ14" s="13" t="s">
        <v>12</v>
      </c>
      <c r="CA14" s="13" t="s">
        <v>12</v>
      </c>
      <c r="CB14" s="13" t="s">
        <v>12</v>
      </c>
      <c r="CC14" s="13" t="s">
        <v>12</v>
      </c>
      <c r="CD14" s="13"/>
      <c r="CE14" s="13" t="s">
        <v>12</v>
      </c>
      <c r="CF14" s="13" t="s">
        <v>12</v>
      </c>
      <c r="CG14" s="13" t="s">
        <v>12</v>
      </c>
      <c r="CH14" s="13" t="s">
        <v>12</v>
      </c>
      <c r="CI14" s="13" t="s">
        <v>12</v>
      </c>
      <c r="CJ14" s="13" t="s">
        <v>12</v>
      </c>
      <c r="CK14" s="13" t="s">
        <v>12</v>
      </c>
      <c r="CL14" s="13" t="s">
        <v>12</v>
      </c>
      <c r="CM14" s="13" t="s">
        <v>12</v>
      </c>
      <c r="CN14" s="13" t="s">
        <v>12</v>
      </c>
      <c r="CO14" s="13" t="s">
        <v>12</v>
      </c>
    </row>
    <row r="15" spans="1:99" x14ac:dyDescent="0.25">
      <c r="A15" s="1">
        <v>15</v>
      </c>
      <c r="B15" s="1">
        <v>13</v>
      </c>
      <c r="C15" s="2" t="s">
        <v>30</v>
      </c>
      <c r="D15" s="1" t="s">
        <v>280</v>
      </c>
      <c r="E15" s="1" t="s">
        <v>12</v>
      </c>
      <c r="F15" s="1" t="str">
        <f t="shared" si="0"/>
        <v>M</v>
      </c>
      <c r="G15" s="1" t="str">
        <f t="shared" si="1"/>
        <v>D</v>
      </c>
      <c r="H15" s="1">
        <v>1</v>
      </c>
      <c r="I15" s="1">
        <v>1</v>
      </c>
      <c r="J15" s="8" t="s">
        <v>276</v>
      </c>
      <c r="K15" s="1">
        <v>1</v>
      </c>
      <c r="L15" s="1">
        <v>1</v>
      </c>
      <c r="M15" s="8">
        <v>1</v>
      </c>
      <c r="N15" s="8">
        <v>3</v>
      </c>
      <c r="O15" s="8"/>
      <c r="P15" s="1" t="s">
        <v>8</v>
      </c>
      <c r="Q15" s="3">
        <v>45665</v>
      </c>
      <c r="R15" s="3">
        <v>45666</v>
      </c>
      <c r="S15" s="3">
        <v>45656</v>
      </c>
      <c r="T15" s="3">
        <v>45657</v>
      </c>
      <c r="U15" s="1">
        <f t="shared" si="2"/>
        <v>9</v>
      </c>
      <c r="V15" s="1" t="s">
        <v>12</v>
      </c>
      <c r="W15" s="1" t="s">
        <v>12</v>
      </c>
      <c r="X15" s="1" t="s">
        <v>12</v>
      </c>
      <c r="Y15" s="1" t="s">
        <v>12</v>
      </c>
      <c r="AA15" s="3">
        <v>45676</v>
      </c>
      <c r="AE15" s="11">
        <f>AA15</f>
        <v>45676</v>
      </c>
      <c r="AF15" s="1">
        <f t="shared" si="3"/>
        <v>10</v>
      </c>
      <c r="AG15" s="1">
        <v>1</v>
      </c>
      <c r="AH15" s="5">
        <v>0.74299999999999999</v>
      </c>
      <c r="AI15" s="1">
        <v>1</v>
      </c>
      <c r="AJ15" s="3">
        <v>45670</v>
      </c>
      <c r="AK15" s="5" t="s">
        <v>12</v>
      </c>
      <c r="AL15" s="5" t="s">
        <v>12</v>
      </c>
      <c r="AM15" s="5" t="s">
        <v>12</v>
      </c>
      <c r="AN15" s="3" t="s">
        <v>12</v>
      </c>
      <c r="AO15" s="5" t="s">
        <v>12</v>
      </c>
      <c r="AP15" s="5" t="s">
        <v>12</v>
      </c>
      <c r="AQ15" s="3" t="s">
        <v>12</v>
      </c>
      <c r="AR15" s="1" t="s">
        <v>12</v>
      </c>
      <c r="AS15" s="1">
        <v>11</v>
      </c>
      <c r="AT15" s="1">
        <v>19</v>
      </c>
      <c r="AU15" s="1">
        <v>55</v>
      </c>
      <c r="AV15" s="1">
        <f t="shared" si="4"/>
        <v>85</v>
      </c>
      <c r="AW15" s="1">
        <v>15</v>
      </c>
      <c r="AX15" s="1">
        <v>7</v>
      </c>
      <c r="AY15" s="1" t="s">
        <v>12</v>
      </c>
      <c r="AZ15" s="1">
        <f>AW15+AX15</f>
        <v>22</v>
      </c>
      <c r="BA15" s="1" t="s">
        <v>12</v>
      </c>
      <c r="BB15" s="1" t="s">
        <v>12</v>
      </c>
      <c r="BC15" s="1" t="s">
        <v>12</v>
      </c>
      <c r="BD15" s="1" t="s">
        <v>12</v>
      </c>
      <c r="BE15" s="1" t="s">
        <v>12</v>
      </c>
      <c r="BF15" s="1" t="s">
        <v>12</v>
      </c>
      <c r="BG15" s="1" t="s">
        <v>12</v>
      </c>
      <c r="BH15" s="1" t="s">
        <v>12</v>
      </c>
      <c r="BI15" s="1" t="s">
        <v>12</v>
      </c>
      <c r="BJ15" s="1" t="s">
        <v>12</v>
      </c>
      <c r="BK15" s="3" t="s">
        <v>12</v>
      </c>
      <c r="BL15" s="10" t="s">
        <v>12</v>
      </c>
      <c r="BM15" s="10" t="s">
        <v>12</v>
      </c>
      <c r="BN15" s="14" t="s">
        <v>12</v>
      </c>
      <c r="BO15" s="13" t="s">
        <v>12</v>
      </c>
      <c r="BP15" s="13" t="s">
        <v>12</v>
      </c>
      <c r="BQ15" s="13" t="s">
        <v>12</v>
      </c>
      <c r="BR15" s="13" t="s">
        <v>12</v>
      </c>
      <c r="BS15" s="13" t="s">
        <v>12</v>
      </c>
      <c r="BT15" s="13" t="s">
        <v>12</v>
      </c>
      <c r="BU15" s="13" t="s">
        <v>12</v>
      </c>
      <c r="BV15" s="13" t="s">
        <v>12</v>
      </c>
      <c r="BW15" s="13" t="s">
        <v>12</v>
      </c>
      <c r="BX15" s="13" t="s">
        <v>12</v>
      </c>
      <c r="BY15" s="13" t="s">
        <v>12</v>
      </c>
      <c r="BZ15" s="13" t="s">
        <v>12</v>
      </c>
      <c r="CA15" s="13" t="s">
        <v>12</v>
      </c>
      <c r="CB15" s="13" t="s">
        <v>12</v>
      </c>
      <c r="CC15" s="13" t="s">
        <v>12</v>
      </c>
      <c r="CD15" s="13"/>
      <c r="CE15" s="13" t="s">
        <v>12</v>
      </c>
      <c r="CF15" s="13" t="s">
        <v>12</v>
      </c>
      <c r="CG15" s="13" t="s">
        <v>12</v>
      </c>
      <c r="CH15" s="13" t="s">
        <v>12</v>
      </c>
      <c r="CI15" s="13" t="s">
        <v>12</v>
      </c>
      <c r="CJ15" s="13" t="s">
        <v>12</v>
      </c>
      <c r="CK15" s="13" t="s">
        <v>12</v>
      </c>
      <c r="CL15" s="13" t="s">
        <v>12</v>
      </c>
      <c r="CM15" s="13" t="s">
        <v>12</v>
      </c>
      <c r="CN15" s="13" t="s">
        <v>12</v>
      </c>
      <c r="CO15" s="13" t="s">
        <v>12</v>
      </c>
    </row>
    <row r="16" spans="1:99" x14ac:dyDescent="0.25">
      <c r="A16" s="1">
        <v>16</v>
      </c>
      <c r="B16" s="1">
        <v>14</v>
      </c>
      <c r="C16" s="2" t="s">
        <v>31</v>
      </c>
      <c r="D16" s="1" t="s">
        <v>280</v>
      </c>
      <c r="E16" s="1" t="s">
        <v>12</v>
      </c>
      <c r="F16" s="1" t="str">
        <f t="shared" si="0"/>
        <v>C</v>
      </c>
      <c r="G16" s="1" t="str">
        <f t="shared" si="1"/>
        <v>A</v>
      </c>
      <c r="H16" s="1">
        <v>0</v>
      </c>
      <c r="I16" s="1">
        <v>0</v>
      </c>
      <c r="J16" s="8" t="s">
        <v>278</v>
      </c>
      <c r="K16" s="1">
        <v>1</v>
      </c>
      <c r="L16" s="1">
        <v>1</v>
      </c>
      <c r="M16" s="8">
        <v>2</v>
      </c>
      <c r="N16" s="8">
        <v>3</v>
      </c>
      <c r="O16" s="8"/>
      <c r="P16" s="1" t="s">
        <v>8</v>
      </c>
      <c r="Q16" s="3">
        <v>45665</v>
      </c>
      <c r="R16" s="3">
        <v>45666</v>
      </c>
      <c r="S16" s="3">
        <v>45656</v>
      </c>
      <c r="T16" s="3">
        <v>45657</v>
      </c>
      <c r="U16" s="1">
        <f t="shared" si="2"/>
        <v>9</v>
      </c>
      <c r="V16" s="1" t="s">
        <v>12</v>
      </c>
      <c r="W16" s="1" t="s">
        <v>12</v>
      </c>
      <c r="X16" s="1" t="s">
        <v>12</v>
      </c>
      <c r="Y16" s="1" t="s">
        <v>12</v>
      </c>
      <c r="AA16" s="3">
        <v>45669</v>
      </c>
      <c r="AE16" s="11">
        <f>AA16</f>
        <v>45669</v>
      </c>
      <c r="AF16" s="1">
        <f t="shared" si="3"/>
        <v>3</v>
      </c>
      <c r="AG16" s="1">
        <v>1</v>
      </c>
      <c r="AH16" s="5" t="s">
        <v>12</v>
      </c>
      <c r="AI16" s="1">
        <v>1</v>
      </c>
      <c r="AJ16" s="3">
        <v>45670</v>
      </c>
      <c r="AK16" s="5" t="s">
        <v>12</v>
      </c>
      <c r="AL16" s="5" t="s">
        <v>12</v>
      </c>
      <c r="AM16" s="5" t="s">
        <v>12</v>
      </c>
      <c r="AN16" s="3" t="s">
        <v>12</v>
      </c>
      <c r="AO16" s="5" t="s">
        <v>12</v>
      </c>
      <c r="AP16" s="5" t="s">
        <v>12</v>
      </c>
      <c r="AQ16" s="3" t="s">
        <v>12</v>
      </c>
      <c r="AR16" s="1" t="s">
        <v>12</v>
      </c>
      <c r="AS16" s="1">
        <v>3</v>
      </c>
      <c r="AT16" s="1" t="s">
        <v>12</v>
      </c>
      <c r="AU16" s="1" t="s">
        <v>12</v>
      </c>
      <c r="AV16" s="1">
        <v>3</v>
      </c>
      <c r="AW16" s="1" t="s">
        <v>12</v>
      </c>
      <c r="AX16" s="1" t="s">
        <v>12</v>
      </c>
      <c r="AY16" s="1" t="s">
        <v>12</v>
      </c>
      <c r="AZ16" s="1" t="s">
        <v>12</v>
      </c>
      <c r="BA16" s="1" t="s">
        <v>12</v>
      </c>
      <c r="BB16" s="1" t="s">
        <v>12</v>
      </c>
      <c r="BC16" s="1" t="s">
        <v>12</v>
      </c>
      <c r="BD16" s="1" t="s">
        <v>12</v>
      </c>
      <c r="BE16" s="1" t="s">
        <v>12</v>
      </c>
      <c r="BF16" s="1" t="s">
        <v>12</v>
      </c>
      <c r="BG16" s="1" t="s">
        <v>12</v>
      </c>
      <c r="BH16" s="1" t="s">
        <v>12</v>
      </c>
      <c r="BI16" s="1" t="s">
        <v>12</v>
      </c>
      <c r="BJ16" s="1" t="s">
        <v>12</v>
      </c>
      <c r="BK16" s="3" t="s">
        <v>12</v>
      </c>
      <c r="BL16" s="10" t="s">
        <v>12</v>
      </c>
      <c r="BM16" s="10" t="s">
        <v>12</v>
      </c>
      <c r="BN16" s="14" t="s">
        <v>12</v>
      </c>
      <c r="BO16" s="13" t="s">
        <v>12</v>
      </c>
      <c r="BP16" s="13" t="s">
        <v>12</v>
      </c>
      <c r="BQ16" s="13" t="s">
        <v>12</v>
      </c>
      <c r="BR16" s="13" t="s">
        <v>12</v>
      </c>
      <c r="BS16" s="13" t="s">
        <v>12</v>
      </c>
      <c r="BT16" s="13" t="s">
        <v>12</v>
      </c>
      <c r="BU16" s="13" t="s">
        <v>12</v>
      </c>
      <c r="BV16" s="13" t="s">
        <v>12</v>
      </c>
      <c r="BW16" s="13" t="s">
        <v>12</v>
      </c>
      <c r="BX16" s="13" t="s">
        <v>12</v>
      </c>
      <c r="BY16" s="13" t="s">
        <v>12</v>
      </c>
      <c r="BZ16" s="13" t="s">
        <v>12</v>
      </c>
      <c r="CA16" s="13" t="s">
        <v>12</v>
      </c>
      <c r="CB16" s="13" t="s">
        <v>12</v>
      </c>
      <c r="CC16" s="13" t="s">
        <v>12</v>
      </c>
      <c r="CD16" s="13"/>
      <c r="CE16" s="13" t="s">
        <v>12</v>
      </c>
      <c r="CF16" s="13" t="s">
        <v>12</v>
      </c>
      <c r="CG16" s="13" t="s">
        <v>12</v>
      </c>
      <c r="CH16" s="13" t="s">
        <v>12</v>
      </c>
      <c r="CI16" s="13" t="s">
        <v>12</v>
      </c>
      <c r="CJ16" s="13" t="s">
        <v>12</v>
      </c>
      <c r="CK16" s="13" t="s">
        <v>12</v>
      </c>
      <c r="CL16" s="13" t="s">
        <v>12</v>
      </c>
      <c r="CM16" s="13" t="s">
        <v>12</v>
      </c>
      <c r="CN16" s="13" t="s">
        <v>12</v>
      </c>
      <c r="CO16" s="13" t="s">
        <v>12</v>
      </c>
    </row>
    <row r="17" spans="1:99" x14ac:dyDescent="0.25">
      <c r="A17" s="1">
        <v>17</v>
      </c>
      <c r="B17" s="1">
        <v>15</v>
      </c>
      <c r="C17" s="2" t="s">
        <v>32</v>
      </c>
      <c r="D17" s="3" t="s">
        <v>10</v>
      </c>
      <c r="E17" s="1" t="str">
        <f>D17</f>
        <v>m</v>
      </c>
      <c r="F17" s="1" t="str">
        <f t="shared" si="0"/>
        <v>A</v>
      </c>
      <c r="G17" s="1" t="str">
        <f t="shared" si="1"/>
        <v>B</v>
      </c>
      <c r="H17" s="1">
        <v>1</v>
      </c>
      <c r="I17" s="1">
        <v>0</v>
      </c>
      <c r="J17" s="8" t="s">
        <v>278</v>
      </c>
      <c r="K17" s="1">
        <v>1</v>
      </c>
      <c r="L17" s="1">
        <v>1</v>
      </c>
      <c r="M17" s="8">
        <v>3</v>
      </c>
      <c r="N17" s="8">
        <v>3</v>
      </c>
      <c r="O17" s="8">
        <v>1</v>
      </c>
      <c r="P17" s="1" t="s">
        <v>8</v>
      </c>
      <c r="Q17" s="3">
        <v>45665</v>
      </c>
      <c r="R17" s="3">
        <v>45666</v>
      </c>
      <c r="S17" s="3">
        <v>45656</v>
      </c>
      <c r="T17" s="3">
        <v>45657</v>
      </c>
      <c r="U17" s="1">
        <f t="shared" si="2"/>
        <v>9</v>
      </c>
      <c r="V17" s="3">
        <v>45682</v>
      </c>
      <c r="W17" s="1">
        <f>_xlfn.DAYS(V17,R17)</f>
        <v>16</v>
      </c>
      <c r="X17" s="3">
        <v>45688</v>
      </c>
      <c r="Y17" s="1">
        <f>_xlfn.DAYS(X17,R17)</f>
        <v>22</v>
      </c>
      <c r="Z17" s="1">
        <f>_xlfn.DAYS(BK17,X17)</f>
        <v>9</v>
      </c>
      <c r="AB17" s="3">
        <v>45699</v>
      </c>
      <c r="AD17" s="11" t="s">
        <v>86</v>
      </c>
      <c r="AE17" s="11">
        <v>45697</v>
      </c>
      <c r="AF17" s="1">
        <f t="shared" si="3"/>
        <v>31</v>
      </c>
      <c r="AG17" s="1">
        <v>0</v>
      </c>
      <c r="AH17" s="5">
        <v>0.89800000000000002</v>
      </c>
      <c r="AI17" s="1">
        <v>1</v>
      </c>
      <c r="AJ17" s="3">
        <v>45670</v>
      </c>
      <c r="AK17" s="5">
        <f>AL17-AH17</f>
        <v>7.0350000000000001</v>
      </c>
      <c r="AL17" s="5">
        <v>7.9329999999999998</v>
      </c>
      <c r="AM17" s="1">
        <v>2</v>
      </c>
      <c r="AN17" s="3">
        <f>V17+1</f>
        <v>45683</v>
      </c>
      <c r="AO17" s="1">
        <v>7.0670000000000002</v>
      </c>
      <c r="AP17" s="1">
        <v>2</v>
      </c>
      <c r="AQ17" s="3">
        <f>X17+1</f>
        <v>45689</v>
      </c>
      <c r="AR17" s="5">
        <f>AO17-AH17</f>
        <v>6.1690000000000005</v>
      </c>
      <c r="AS17" s="1">
        <v>10</v>
      </c>
      <c r="AT17" s="1">
        <v>24</v>
      </c>
      <c r="AU17" s="1">
        <v>65</v>
      </c>
      <c r="AV17" s="1">
        <f t="shared" ref="AV17:AV52" si="5">AS17+AT17+AU17</f>
        <v>99</v>
      </c>
      <c r="AW17" s="1">
        <v>105</v>
      </c>
      <c r="AX17" s="1">
        <v>176</v>
      </c>
      <c r="AY17" s="1">
        <v>148</v>
      </c>
      <c r="AZ17" s="1">
        <f>AW17+AX17+AY17</f>
        <v>429</v>
      </c>
      <c r="BA17" s="1">
        <v>19</v>
      </c>
      <c r="BB17" s="1">
        <v>0</v>
      </c>
      <c r="BC17" s="1" t="s">
        <v>12</v>
      </c>
      <c r="BD17" s="1" t="s">
        <v>12</v>
      </c>
      <c r="BE17" s="1" t="s">
        <v>12</v>
      </c>
      <c r="BF17" s="1" t="s">
        <v>12</v>
      </c>
      <c r="BG17" s="1" t="s">
        <v>12</v>
      </c>
      <c r="BH17" s="1" t="s">
        <v>12</v>
      </c>
      <c r="BI17" s="1">
        <f>BA17+BB17</f>
        <v>19</v>
      </c>
      <c r="BJ17" s="1">
        <f>AV17+AZ17+BI17</f>
        <v>547</v>
      </c>
      <c r="BK17" s="3">
        <v>45697</v>
      </c>
      <c r="BL17" s="6" t="s">
        <v>33</v>
      </c>
      <c r="BM17" s="6"/>
      <c r="BN17" s="6" t="s">
        <v>212</v>
      </c>
      <c r="BO17" s="13">
        <v>54.5</v>
      </c>
      <c r="BP17" s="13">
        <v>5.0999999999999996</v>
      </c>
      <c r="BQ17" s="1">
        <v>1</v>
      </c>
      <c r="BR17" s="1">
        <v>0</v>
      </c>
      <c r="BS17" s="1">
        <f>BQ17+BR17</f>
        <v>1</v>
      </c>
      <c r="BT17" s="1">
        <v>9</v>
      </c>
      <c r="BU17" s="1">
        <v>0</v>
      </c>
      <c r="BV17" s="1">
        <f>BT17+BU17</f>
        <v>9</v>
      </c>
      <c r="BW17" s="1">
        <v>6</v>
      </c>
      <c r="BX17" s="1">
        <v>0</v>
      </c>
      <c r="BY17" s="1">
        <f>BW17+BX17</f>
        <v>6</v>
      </c>
      <c r="BZ17" s="1">
        <v>9</v>
      </c>
      <c r="CA17" s="1">
        <v>2</v>
      </c>
      <c r="CB17" s="1">
        <f>BZ17+CA17</f>
        <v>11</v>
      </c>
      <c r="CC17" s="1">
        <f>BS17+BV17+BY17+CB17</f>
        <v>27</v>
      </c>
      <c r="CE17" s="7">
        <f>CC17+CD17</f>
        <v>27</v>
      </c>
      <c r="CF17" s="8">
        <v>0</v>
      </c>
      <c r="CG17" s="8">
        <v>3</v>
      </c>
      <c r="CH17" s="8">
        <v>1</v>
      </c>
      <c r="CI17" s="8">
        <v>2</v>
      </c>
      <c r="CJ17" s="8">
        <v>1</v>
      </c>
      <c r="CK17" s="8">
        <v>0</v>
      </c>
      <c r="CL17" s="8">
        <v>0</v>
      </c>
      <c r="CM17" s="8">
        <v>0</v>
      </c>
      <c r="CN17" s="1">
        <f>CF17+CG17+CH17+CI17+CJ17+CK17+CL17+CM17</f>
        <v>7</v>
      </c>
      <c r="CO17" s="1">
        <f>CN17/CE17</f>
        <v>0.25925925925925924</v>
      </c>
      <c r="CP17" s="8">
        <v>0.61399999999999999</v>
      </c>
      <c r="CQ17" s="8">
        <v>1</v>
      </c>
      <c r="CR17" s="1">
        <f>CP17/CQ17</f>
        <v>0.61399999999999999</v>
      </c>
      <c r="CS17" s="1">
        <v>2.915</v>
      </c>
      <c r="CT17" s="8">
        <v>2</v>
      </c>
      <c r="CU17" s="1">
        <f>CS17/CT17</f>
        <v>1.4575</v>
      </c>
    </row>
    <row r="18" spans="1:99" x14ac:dyDescent="0.25">
      <c r="A18" s="1">
        <v>18</v>
      </c>
      <c r="B18" s="1">
        <v>16</v>
      </c>
      <c r="C18" s="2" t="s">
        <v>34</v>
      </c>
      <c r="D18" s="1" t="s">
        <v>280</v>
      </c>
      <c r="E18" s="1" t="s">
        <v>12</v>
      </c>
      <c r="F18" s="1" t="str">
        <f t="shared" si="0"/>
        <v>I</v>
      </c>
      <c r="G18" s="1" t="str">
        <f t="shared" si="1"/>
        <v>C</v>
      </c>
      <c r="H18" s="1">
        <v>0</v>
      </c>
      <c r="I18" s="1">
        <v>1</v>
      </c>
      <c r="J18" s="8" t="s">
        <v>278</v>
      </c>
      <c r="K18" s="1">
        <v>1</v>
      </c>
      <c r="L18" s="1">
        <v>1</v>
      </c>
      <c r="M18" s="1">
        <v>3</v>
      </c>
      <c r="N18" s="8">
        <v>4</v>
      </c>
      <c r="O18" s="8"/>
      <c r="P18" s="1" t="s">
        <v>8</v>
      </c>
      <c r="Q18" s="3">
        <v>45665</v>
      </c>
      <c r="R18" s="3">
        <v>45666</v>
      </c>
      <c r="S18" s="3">
        <v>45656</v>
      </c>
      <c r="T18" s="3">
        <v>45657</v>
      </c>
      <c r="U18" s="1">
        <f t="shared" si="2"/>
        <v>9</v>
      </c>
      <c r="V18" s="1" t="s">
        <v>12</v>
      </c>
      <c r="W18" s="1" t="s">
        <v>12</v>
      </c>
      <c r="X18" s="1" t="s">
        <v>12</v>
      </c>
      <c r="Y18" s="1" t="s">
        <v>12</v>
      </c>
      <c r="AA18" s="3">
        <v>45674</v>
      </c>
      <c r="AE18" s="11">
        <f>AA18</f>
        <v>45674</v>
      </c>
      <c r="AF18" s="1">
        <f t="shared" si="3"/>
        <v>8</v>
      </c>
      <c r="AG18" s="1">
        <v>1</v>
      </c>
      <c r="AH18" s="5">
        <v>0.42699999999999999</v>
      </c>
      <c r="AI18" s="1">
        <v>1</v>
      </c>
      <c r="AJ18" s="3">
        <v>45670</v>
      </c>
      <c r="AK18" s="5" t="s">
        <v>12</v>
      </c>
      <c r="AL18" s="5" t="s">
        <v>12</v>
      </c>
      <c r="AM18" s="5" t="s">
        <v>12</v>
      </c>
      <c r="AN18" s="3" t="s">
        <v>12</v>
      </c>
      <c r="AO18" s="5" t="s">
        <v>12</v>
      </c>
      <c r="AP18" s="5" t="s">
        <v>12</v>
      </c>
      <c r="AQ18" s="3" t="s">
        <v>12</v>
      </c>
      <c r="AR18" s="1" t="s">
        <v>12</v>
      </c>
      <c r="AS18" s="1">
        <v>14</v>
      </c>
      <c r="AT18" s="1">
        <v>3</v>
      </c>
      <c r="AU18" s="1">
        <v>12</v>
      </c>
      <c r="AV18" s="1">
        <f t="shared" si="5"/>
        <v>29</v>
      </c>
      <c r="AW18" s="1">
        <v>12</v>
      </c>
      <c r="AX18" s="1" t="s">
        <v>12</v>
      </c>
      <c r="AY18" s="1" t="s">
        <v>12</v>
      </c>
      <c r="AZ18" s="1">
        <f>AW18</f>
        <v>12</v>
      </c>
      <c r="BA18" s="1" t="s">
        <v>12</v>
      </c>
      <c r="BB18" s="1" t="s">
        <v>12</v>
      </c>
      <c r="BC18" s="1" t="s">
        <v>12</v>
      </c>
      <c r="BD18" s="1" t="s">
        <v>12</v>
      </c>
      <c r="BE18" s="1" t="s">
        <v>12</v>
      </c>
      <c r="BF18" s="1" t="s">
        <v>12</v>
      </c>
      <c r="BG18" s="1" t="s">
        <v>12</v>
      </c>
      <c r="BH18" s="1" t="s">
        <v>12</v>
      </c>
      <c r="BI18" s="1" t="s">
        <v>12</v>
      </c>
      <c r="BJ18" s="1" t="s">
        <v>12</v>
      </c>
      <c r="BK18" s="3" t="s">
        <v>12</v>
      </c>
      <c r="BL18" s="10" t="s">
        <v>12</v>
      </c>
      <c r="BM18" s="10" t="s">
        <v>12</v>
      </c>
      <c r="BN18" s="14" t="s">
        <v>12</v>
      </c>
      <c r="BO18" s="13" t="s">
        <v>12</v>
      </c>
      <c r="BP18" s="13" t="s">
        <v>12</v>
      </c>
      <c r="BQ18" s="13" t="s">
        <v>12</v>
      </c>
      <c r="BR18" s="13" t="s">
        <v>12</v>
      </c>
      <c r="BS18" s="13" t="s">
        <v>12</v>
      </c>
      <c r="BT18" s="13" t="s">
        <v>12</v>
      </c>
      <c r="BU18" s="13" t="s">
        <v>12</v>
      </c>
      <c r="BV18" s="13" t="s">
        <v>12</v>
      </c>
      <c r="BW18" s="13" t="s">
        <v>12</v>
      </c>
      <c r="BX18" s="13" t="s">
        <v>12</v>
      </c>
      <c r="BY18" s="13" t="s">
        <v>12</v>
      </c>
      <c r="BZ18" s="13" t="s">
        <v>12</v>
      </c>
      <c r="CA18" s="13" t="s">
        <v>12</v>
      </c>
      <c r="CB18" s="13" t="s">
        <v>12</v>
      </c>
      <c r="CC18" s="13" t="s">
        <v>12</v>
      </c>
      <c r="CD18" s="13"/>
      <c r="CE18" s="13" t="s">
        <v>12</v>
      </c>
      <c r="CF18" s="13" t="s">
        <v>12</v>
      </c>
      <c r="CG18" s="13" t="s">
        <v>12</v>
      </c>
      <c r="CH18" s="13" t="s">
        <v>12</v>
      </c>
      <c r="CI18" s="13" t="s">
        <v>12</v>
      </c>
      <c r="CJ18" s="13" t="s">
        <v>12</v>
      </c>
      <c r="CK18" s="13" t="s">
        <v>12</v>
      </c>
      <c r="CL18" s="13" t="s">
        <v>12</v>
      </c>
      <c r="CM18" s="13" t="s">
        <v>12</v>
      </c>
      <c r="CN18" s="13" t="s">
        <v>12</v>
      </c>
      <c r="CO18" s="13" t="s">
        <v>12</v>
      </c>
    </row>
    <row r="19" spans="1:99" x14ac:dyDescent="0.25">
      <c r="A19" s="1">
        <v>19</v>
      </c>
      <c r="B19" s="1">
        <v>17</v>
      </c>
      <c r="C19" s="2" t="s">
        <v>35</v>
      </c>
      <c r="D19" s="1" t="s">
        <v>280</v>
      </c>
      <c r="E19" s="1" t="s">
        <v>12</v>
      </c>
      <c r="F19" s="1" t="str">
        <f t="shared" si="0"/>
        <v>C</v>
      </c>
      <c r="G19" s="1" t="str">
        <f t="shared" si="1"/>
        <v>A</v>
      </c>
      <c r="H19" s="1">
        <v>0</v>
      </c>
      <c r="I19" s="1">
        <v>0</v>
      </c>
      <c r="J19" s="8" t="s">
        <v>278</v>
      </c>
      <c r="K19" s="1">
        <v>1</v>
      </c>
      <c r="L19" s="1">
        <v>1</v>
      </c>
      <c r="M19" s="1">
        <v>2</v>
      </c>
      <c r="N19" s="8">
        <v>4</v>
      </c>
      <c r="O19" s="8"/>
      <c r="P19" s="1" t="s">
        <v>8</v>
      </c>
      <c r="Q19" s="3">
        <v>45665</v>
      </c>
      <c r="R19" s="3">
        <v>45666</v>
      </c>
      <c r="S19" s="3">
        <v>45656</v>
      </c>
      <c r="T19" s="3">
        <v>45657</v>
      </c>
      <c r="U19" s="1">
        <f t="shared" si="2"/>
        <v>9</v>
      </c>
      <c r="V19" s="1" t="s">
        <v>12</v>
      </c>
      <c r="W19" s="1" t="s">
        <v>12</v>
      </c>
      <c r="X19" s="1" t="s">
        <v>12</v>
      </c>
      <c r="Y19" s="1" t="s">
        <v>12</v>
      </c>
      <c r="AA19" s="3">
        <v>45678</v>
      </c>
      <c r="AE19" s="11">
        <f>AA19</f>
        <v>45678</v>
      </c>
      <c r="AF19" s="1">
        <f t="shared" si="3"/>
        <v>12</v>
      </c>
      <c r="AG19" s="1">
        <v>1</v>
      </c>
      <c r="AH19" s="5">
        <v>0.44500000000000001</v>
      </c>
      <c r="AI19" s="1">
        <v>1</v>
      </c>
      <c r="AJ19" s="3">
        <v>45670</v>
      </c>
      <c r="AK19" s="5" t="s">
        <v>12</v>
      </c>
      <c r="AL19" s="5" t="s">
        <v>12</v>
      </c>
      <c r="AM19" s="5" t="s">
        <v>12</v>
      </c>
      <c r="AN19" s="3" t="s">
        <v>12</v>
      </c>
      <c r="AO19" s="5" t="s">
        <v>12</v>
      </c>
      <c r="AP19" s="5" t="s">
        <v>12</v>
      </c>
      <c r="AQ19" s="3" t="s">
        <v>12</v>
      </c>
      <c r="AR19" s="1" t="s">
        <v>12</v>
      </c>
      <c r="AS19" s="1">
        <v>8</v>
      </c>
      <c r="AT19" s="1">
        <v>14</v>
      </c>
      <c r="AU19" s="1">
        <v>37</v>
      </c>
      <c r="AV19" s="1">
        <f t="shared" si="5"/>
        <v>59</v>
      </c>
      <c r="AW19" s="1">
        <v>7</v>
      </c>
      <c r="AX19" s="1">
        <v>2</v>
      </c>
      <c r="AY19" s="1">
        <v>3</v>
      </c>
      <c r="AZ19" s="1">
        <f>AW19+AX19+AY19</f>
        <v>12</v>
      </c>
      <c r="BA19" s="1" t="s">
        <v>12</v>
      </c>
      <c r="BB19" s="1" t="s">
        <v>12</v>
      </c>
      <c r="BC19" s="1" t="s">
        <v>12</v>
      </c>
      <c r="BD19" s="1" t="s">
        <v>12</v>
      </c>
      <c r="BE19" s="1" t="s">
        <v>12</v>
      </c>
      <c r="BF19" s="1" t="s">
        <v>12</v>
      </c>
      <c r="BG19" s="1" t="s">
        <v>12</v>
      </c>
      <c r="BH19" s="1" t="s">
        <v>12</v>
      </c>
      <c r="BI19" s="1" t="s">
        <v>12</v>
      </c>
      <c r="BJ19" s="1" t="s">
        <v>12</v>
      </c>
      <c r="BK19" s="3" t="s">
        <v>12</v>
      </c>
      <c r="BL19" s="10" t="s">
        <v>12</v>
      </c>
      <c r="BM19" s="10" t="s">
        <v>12</v>
      </c>
      <c r="BN19" s="14" t="s">
        <v>12</v>
      </c>
      <c r="BO19" s="13" t="s">
        <v>12</v>
      </c>
      <c r="BP19" s="13" t="s">
        <v>12</v>
      </c>
      <c r="BQ19" s="13" t="s">
        <v>12</v>
      </c>
      <c r="BR19" s="13" t="s">
        <v>12</v>
      </c>
      <c r="BS19" s="13" t="s">
        <v>12</v>
      </c>
      <c r="BT19" s="13" t="s">
        <v>12</v>
      </c>
      <c r="BU19" s="13" t="s">
        <v>12</v>
      </c>
      <c r="BV19" s="13" t="s">
        <v>12</v>
      </c>
      <c r="BW19" s="13" t="s">
        <v>12</v>
      </c>
      <c r="BX19" s="13" t="s">
        <v>12</v>
      </c>
      <c r="BY19" s="13" t="s">
        <v>12</v>
      </c>
      <c r="BZ19" s="13" t="s">
        <v>12</v>
      </c>
      <c r="CA19" s="13" t="s">
        <v>12</v>
      </c>
      <c r="CB19" s="13" t="s">
        <v>12</v>
      </c>
      <c r="CC19" s="13" t="s">
        <v>12</v>
      </c>
      <c r="CD19" s="13"/>
      <c r="CE19" s="13" t="s">
        <v>12</v>
      </c>
      <c r="CF19" s="13" t="s">
        <v>12</v>
      </c>
      <c r="CG19" s="13" t="s">
        <v>12</v>
      </c>
      <c r="CH19" s="13" t="s">
        <v>12</v>
      </c>
      <c r="CI19" s="13" t="s">
        <v>12</v>
      </c>
      <c r="CJ19" s="13" t="s">
        <v>12</v>
      </c>
      <c r="CK19" s="13" t="s">
        <v>12</v>
      </c>
      <c r="CL19" s="13" t="s">
        <v>12</v>
      </c>
      <c r="CM19" s="13" t="s">
        <v>12</v>
      </c>
      <c r="CN19" s="13" t="s">
        <v>12</v>
      </c>
      <c r="CO19" s="13" t="s">
        <v>12</v>
      </c>
    </row>
    <row r="20" spans="1:99" x14ac:dyDescent="0.25">
      <c r="A20" s="1">
        <v>20</v>
      </c>
      <c r="B20" s="1">
        <v>18</v>
      </c>
      <c r="C20" s="2" t="s">
        <v>36</v>
      </c>
      <c r="D20" s="3" t="s">
        <v>27</v>
      </c>
      <c r="E20" s="1" t="str">
        <f>D20</f>
        <v>f</v>
      </c>
      <c r="F20" s="1" t="str">
        <f t="shared" si="0"/>
        <v>A</v>
      </c>
      <c r="G20" s="1" t="str">
        <f t="shared" si="1"/>
        <v>B</v>
      </c>
      <c r="H20" s="1">
        <v>1</v>
      </c>
      <c r="I20" s="1">
        <v>0</v>
      </c>
      <c r="J20" s="8" t="s">
        <v>278</v>
      </c>
      <c r="K20" s="1">
        <v>1</v>
      </c>
      <c r="L20" s="1">
        <v>1</v>
      </c>
      <c r="M20" s="1">
        <v>1</v>
      </c>
      <c r="N20" s="8">
        <v>4</v>
      </c>
      <c r="O20" s="8">
        <v>1</v>
      </c>
      <c r="P20" s="1" t="s">
        <v>8</v>
      </c>
      <c r="Q20" s="3">
        <v>45665</v>
      </c>
      <c r="R20" s="3">
        <v>45666</v>
      </c>
      <c r="S20" s="3">
        <v>45656</v>
      </c>
      <c r="T20" s="3">
        <v>45657</v>
      </c>
      <c r="U20" s="1">
        <f t="shared" si="2"/>
        <v>9</v>
      </c>
      <c r="V20" s="3">
        <v>45683</v>
      </c>
      <c r="W20" s="1">
        <f>_xlfn.DAYS(V20,R20)</f>
        <v>17</v>
      </c>
      <c r="X20" s="3">
        <v>45688</v>
      </c>
      <c r="Y20" s="1">
        <f>_xlfn.DAYS(X20,R20)</f>
        <v>22</v>
      </c>
      <c r="Z20" s="1">
        <f>_xlfn.DAYS(BK20,X20)</f>
        <v>7</v>
      </c>
      <c r="AB20" s="3">
        <v>45701</v>
      </c>
      <c r="AD20" s="11" t="s">
        <v>86</v>
      </c>
      <c r="AE20" s="11">
        <v>45697</v>
      </c>
      <c r="AF20" s="1">
        <f t="shared" si="3"/>
        <v>31</v>
      </c>
      <c r="AG20" s="1">
        <v>0</v>
      </c>
      <c r="AH20" s="5">
        <v>0.89300000000000002</v>
      </c>
      <c r="AI20" s="1">
        <v>1</v>
      </c>
      <c r="AJ20" s="3">
        <v>45670</v>
      </c>
      <c r="AK20" s="5">
        <f>AL20-AH20</f>
        <v>7.5729999999999995</v>
      </c>
      <c r="AL20" s="5">
        <v>8.4659999999999993</v>
      </c>
      <c r="AM20" s="1">
        <v>2</v>
      </c>
      <c r="AN20" s="3">
        <f>V20+1</f>
        <v>45684</v>
      </c>
      <c r="AO20" s="1">
        <v>8.4459999999999997</v>
      </c>
      <c r="AP20" s="1">
        <v>2</v>
      </c>
      <c r="AQ20" s="3">
        <f>X20+1</f>
        <v>45689</v>
      </c>
      <c r="AR20" s="5">
        <f>AO20-AH20</f>
        <v>7.5529999999999999</v>
      </c>
      <c r="AS20" s="1">
        <v>12</v>
      </c>
      <c r="AT20" s="1">
        <v>29</v>
      </c>
      <c r="AU20" s="1">
        <v>79</v>
      </c>
      <c r="AV20" s="1">
        <f t="shared" si="5"/>
        <v>120</v>
      </c>
      <c r="AW20" s="1">
        <v>103</v>
      </c>
      <c r="AX20" s="1">
        <v>264</v>
      </c>
      <c r="AY20" s="1">
        <v>400</v>
      </c>
      <c r="AZ20" s="1">
        <f t="shared" ref="AZ20:AZ36" si="6">SUM(AW20+AX20+AY20)</f>
        <v>767</v>
      </c>
      <c r="BA20" s="1">
        <v>8</v>
      </c>
      <c r="BB20" s="1">
        <v>0</v>
      </c>
      <c r="BC20" s="1">
        <v>0</v>
      </c>
      <c r="BD20" s="1" t="s">
        <v>12</v>
      </c>
      <c r="BE20" s="1" t="s">
        <v>12</v>
      </c>
      <c r="BF20" s="1" t="s">
        <v>12</v>
      </c>
      <c r="BG20" s="1" t="s">
        <v>12</v>
      </c>
      <c r="BH20" s="1" t="s">
        <v>12</v>
      </c>
      <c r="BI20" s="1">
        <f>BA20+BB20+BC20</f>
        <v>8</v>
      </c>
      <c r="BJ20" s="1">
        <f t="shared" ref="BJ20:BJ36" si="7">AV20+AZ20+BI20</f>
        <v>895</v>
      </c>
      <c r="BK20" s="3">
        <v>45695</v>
      </c>
      <c r="BL20" s="6"/>
      <c r="BM20" s="6" t="s">
        <v>37</v>
      </c>
      <c r="BN20" s="6" t="s">
        <v>192</v>
      </c>
      <c r="BO20" s="13">
        <v>0</v>
      </c>
      <c r="BP20" s="13">
        <v>60</v>
      </c>
      <c r="BQ20" s="1">
        <v>3</v>
      </c>
      <c r="BR20" s="1">
        <v>7</v>
      </c>
      <c r="BS20" s="1">
        <f>BQ20+BR20</f>
        <v>10</v>
      </c>
      <c r="BT20" s="1">
        <v>11</v>
      </c>
      <c r="BU20" s="1">
        <v>0</v>
      </c>
      <c r="BV20" s="1">
        <f>BT20+BU20</f>
        <v>11</v>
      </c>
      <c r="BW20" s="1">
        <v>11</v>
      </c>
      <c r="BX20" s="1">
        <v>0</v>
      </c>
      <c r="BY20" s="1">
        <f>BW20+BX20</f>
        <v>11</v>
      </c>
      <c r="BZ20" s="1">
        <v>10</v>
      </c>
      <c r="CA20" s="1">
        <v>0</v>
      </c>
      <c r="CB20" s="1">
        <f>BZ20+CA20</f>
        <v>10</v>
      </c>
      <c r="CC20" s="1">
        <f>BS20+BV20+BY20+CB20</f>
        <v>42</v>
      </c>
      <c r="CE20" s="7">
        <f>CC20+CD20</f>
        <v>42</v>
      </c>
      <c r="CF20" s="1">
        <v>6</v>
      </c>
      <c r="CG20" s="1">
        <v>9</v>
      </c>
      <c r="CH20" s="1">
        <v>8</v>
      </c>
      <c r="CI20" s="1">
        <v>12</v>
      </c>
      <c r="CJ20" s="1">
        <v>3</v>
      </c>
      <c r="CK20" s="1">
        <v>1</v>
      </c>
      <c r="CL20" s="1">
        <v>0</v>
      </c>
      <c r="CM20" s="1">
        <v>0</v>
      </c>
      <c r="CN20" s="1">
        <f>CF20+CG20+CH20+CI20+CJ20+CK20+CL20+CM20</f>
        <v>39</v>
      </c>
      <c r="CO20" s="1">
        <f>CN20/CE20</f>
        <v>0.9285714285714286</v>
      </c>
      <c r="CP20" s="8">
        <v>4.9509999999999996</v>
      </c>
      <c r="CQ20" s="8">
        <v>5</v>
      </c>
      <c r="CR20" s="1">
        <f>CP20/CQ20</f>
        <v>0.99019999999999997</v>
      </c>
      <c r="CS20" s="1">
        <v>1.5029999999999999</v>
      </c>
      <c r="CT20" s="8">
        <v>2</v>
      </c>
      <c r="CU20" s="1">
        <f>CS20/CT20</f>
        <v>0.75149999999999995</v>
      </c>
    </row>
    <row r="21" spans="1:99" x14ac:dyDescent="0.25">
      <c r="A21" s="1">
        <v>21</v>
      </c>
      <c r="B21" s="1">
        <v>19</v>
      </c>
      <c r="C21" s="2" t="s">
        <v>38</v>
      </c>
      <c r="D21" s="1" t="s">
        <v>280</v>
      </c>
      <c r="E21" s="1" t="s">
        <v>12</v>
      </c>
      <c r="F21" s="1" t="str">
        <f t="shared" si="0"/>
        <v>M</v>
      </c>
      <c r="G21" s="1" t="str">
        <f t="shared" si="1"/>
        <v>D</v>
      </c>
      <c r="H21" s="1">
        <v>1</v>
      </c>
      <c r="I21" s="1">
        <v>1</v>
      </c>
      <c r="J21" s="8" t="s">
        <v>276</v>
      </c>
      <c r="K21" s="1">
        <v>1</v>
      </c>
      <c r="L21" s="1">
        <v>1</v>
      </c>
      <c r="M21" s="8">
        <v>0</v>
      </c>
      <c r="N21" s="8">
        <v>4</v>
      </c>
      <c r="O21" s="8"/>
      <c r="P21" s="1" t="s">
        <v>8</v>
      </c>
      <c r="Q21" s="3">
        <v>45665</v>
      </c>
      <c r="R21" s="3">
        <v>45666</v>
      </c>
      <c r="S21" s="3">
        <v>45656</v>
      </c>
      <c r="T21" s="3">
        <v>45657</v>
      </c>
      <c r="U21" s="1">
        <f t="shared" si="2"/>
        <v>9</v>
      </c>
      <c r="V21" s="1" t="s">
        <v>12</v>
      </c>
      <c r="W21" s="1" t="s">
        <v>12</v>
      </c>
      <c r="X21" s="1" t="s">
        <v>12</v>
      </c>
      <c r="Y21" s="1" t="s">
        <v>12</v>
      </c>
      <c r="AA21" s="3">
        <v>45685</v>
      </c>
      <c r="AD21" s="11"/>
      <c r="AE21" s="11">
        <f>AA21</f>
        <v>45685</v>
      </c>
      <c r="AF21" s="1">
        <f t="shared" si="3"/>
        <v>19</v>
      </c>
      <c r="AG21" s="1">
        <v>1</v>
      </c>
      <c r="AH21" s="5">
        <v>0.79</v>
      </c>
      <c r="AI21" s="1">
        <v>1</v>
      </c>
      <c r="AJ21" s="3">
        <v>45670</v>
      </c>
      <c r="AK21" s="5" t="s">
        <v>12</v>
      </c>
      <c r="AL21" s="5" t="s">
        <v>12</v>
      </c>
      <c r="AM21" s="5" t="s">
        <v>12</v>
      </c>
      <c r="AN21" s="3" t="s">
        <v>12</v>
      </c>
      <c r="AO21" s="5" t="s">
        <v>12</v>
      </c>
      <c r="AP21" s="5" t="s">
        <v>12</v>
      </c>
      <c r="AQ21" s="3" t="s">
        <v>12</v>
      </c>
      <c r="AR21" s="1" t="s">
        <v>12</v>
      </c>
      <c r="AS21" s="1">
        <v>11</v>
      </c>
      <c r="AT21" s="1">
        <v>30</v>
      </c>
      <c r="AU21" s="1">
        <v>59</v>
      </c>
      <c r="AV21" s="1">
        <f t="shared" si="5"/>
        <v>100</v>
      </c>
      <c r="AW21" s="1">
        <v>18</v>
      </c>
      <c r="AX21" s="1">
        <v>28</v>
      </c>
      <c r="AY21" s="1">
        <v>88</v>
      </c>
      <c r="AZ21" s="1">
        <f t="shared" si="6"/>
        <v>134</v>
      </c>
      <c r="BA21" s="1">
        <v>2</v>
      </c>
      <c r="BB21" s="1">
        <v>0</v>
      </c>
      <c r="BC21" s="1">
        <v>2</v>
      </c>
      <c r="BD21" s="1" t="s">
        <v>12</v>
      </c>
      <c r="BE21" s="1" t="s">
        <v>12</v>
      </c>
      <c r="BF21" s="1" t="s">
        <v>12</v>
      </c>
      <c r="BG21" s="1" t="s">
        <v>12</v>
      </c>
      <c r="BH21" s="1" t="s">
        <v>12</v>
      </c>
      <c r="BI21" s="1">
        <f>BA21+BB21+BC21</f>
        <v>4</v>
      </c>
      <c r="BJ21" s="1">
        <f t="shared" si="7"/>
        <v>238</v>
      </c>
      <c r="BK21" s="3" t="s">
        <v>12</v>
      </c>
      <c r="BL21" s="10" t="s">
        <v>12</v>
      </c>
      <c r="BM21" s="10" t="s">
        <v>12</v>
      </c>
      <c r="BN21" s="14" t="s">
        <v>12</v>
      </c>
      <c r="BO21" s="13" t="s">
        <v>12</v>
      </c>
      <c r="BP21" s="13" t="s">
        <v>12</v>
      </c>
      <c r="BQ21" s="13" t="s">
        <v>12</v>
      </c>
      <c r="BR21" s="13" t="s">
        <v>12</v>
      </c>
      <c r="BS21" s="13" t="s">
        <v>12</v>
      </c>
      <c r="BT21" s="13" t="s">
        <v>12</v>
      </c>
      <c r="BU21" s="13" t="s">
        <v>12</v>
      </c>
      <c r="BV21" s="13" t="s">
        <v>12</v>
      </c>
      <c r="BW21" s="13" t="s">
        <v>12</v>
      </c>
      <c r="BX21" s="13" t="s">
        <v>12</v>
      </c>
      <c r="BY21" s="13" t="s">
        <v>12</v>
      </c>
      <c r="BZ21" s="13" t="s">
        <v>12</v>
      </c>
      <c r="CA21" s="13" t="s">
        <v>12</v>
      </c>
      <c r="CB21" s="13" t="s">
        <v>12</v>
      </c>
      <c r="CC21" s="13" t="s">
        <v>12</v>
      </c>
      <c r="CD21" s="13"/>
      <c r="CE21" s="13" t="s">
        <v>12</v>
      </c>
      <c r="CF21" s="13" t="s">
        <v>12</v>
      </c>
      <c r="CG21" s="13" t="s">
        <v>12</v>
      </c>
      <c r="CH21" s="13" t="s">
        <v>12</v>
      </c>
      <c r="CI21" s="13" t="s">
        <v>12</v>
      </c>
      <c r="CJ21" s="13" t="s">
        <v>12</v>
      </c>
      <c r="CK21" s="13" t="s">
        <v>12</v>
      </c>
      <c r="CL21" s="13" t="s">
        <v>12</v>
      </c>
      <c r="CM21" s="13" t="s">
        <v>12</v>
      </c>
      <c r="CN21" s="13" t="s">
        <v>12</v>
      </c>
      <c r="CO21" s="13" t="s">
        <v>12</v>
      </c>
    </row>
    <row r="22" spans="1:99" x14ac:dyDescent="0.25">
      <c r="A22" s="1">
        <v>22</v>
      </c>
      <c r="B22" s="1">
        <v>20</v>
      </c>
      <c r="C22" s="2" t="s">
        <v>39</v>
      </c>
      <c r="D22" s="3" t="s">
        <v>10</v>
      </c>
      <c r="E22" s="1" t="str">
        <f>D22</f>
        <v>m</v>
      </c>
      <c r="F22" s="1" t="str">
        <f t="shared" si="0"/>
        <v>M</v>
      </c>
      <c r="G22" s="1" t="str">
        <f t="shared" si="1"/>
        <v>D</v>
      </c>
      <c r="H22" s="1">
        <v>1</v>
      </c>
      <c r="I22" s="1">
        <v>1</v>
      </c>
      <c r="J22" s="8" t="s">
        <v>276</v>
      </c>
      <c r="K22" s="1">
        <v>1</v>
      </c>
      <c r="L22" s="1">
        <v>1</v>
      </c>
      <c r="M22" s="8">
        <v>0</v>
      </c>
      <c r="N22" s="8">
        <v>5</v>
      </c>
      <c r="O22" s="8">
        <v>1</v>
      </c>
      <c r="P22" s="1" t="s">
        <v>8</v>
      </c>
      <c r="Q22" s="3">
        <v>45665</v>
      </c>
      <c r="R22" s="3">
        <v>45666</v>
      </c>
      <c r="S22" s="3">
        <v>45656</v>
      </c>
      <c r="T22" s="3">
        <v>45657</v>
      </c>
      <c r="U22" s="1">
        <f t="shared" si="2"/>
        <v>9</v>
      </c>
      <c r="V22" s="3">
        <v>45683</v>
      </c>
      <c r="W22" s="1">
        <f t="shared" ref="W22:W36" si="8">_xlfn.DAYS(V22,R22)</f>
        <v>17</v>
      </c>
      <c r="X22" s="3">
        <v>45688</v>
      </c>
      <c r="Y22" s="1">
        <f t="shared" ref="Y22:Y27" si="9">_xlfn.DAYS(X22,R22)</f>
        <v>22</v>
      </c>
      <c r="AB22" s="3">
        <v>45698</v>
      </c>
      <c r="AD22" s="11" t="s">
        <v>86</v>
      </c>
      <c r="AE22" s="11">
        <v>45697</v>
      </c>
      <c r="AF22" s="1">
        <f t="shared" si="3"/>
        <v>31</v>
      </c>
      <c r="AG22" s="1">
        <v>0</v>
      </c>
      <c r="AH22" s="5">
        <v>1.0649999999999999</v>
      </c>
      <c r="AI22" s="1">
        <v>1</v>
      </c>
      <c r="AJ22" s="3">
        <v>45670</v>
      </c>
      <c r="AK22" s="5">
        <f t="shared" ref="AK22:AK36" si="10">AL22-AH22</f>
        <v>5.9610000000000003</v>
      </c>
      <c r="AL22" s="5">
        <v>7.0259999999999998</v>
      </c>
      <c r="AM22" s="1">
        <v>2</v>
      </c>
      <c r="AN22" s="3">
        <f t="shared" ref="AN22:AN36" si="11">V22+1</f>
        <v>45684</v>
      </c>
      <c r="AO22" s="1">
        <v>6.452</v>
      </c>
      <c r="AP22" s="1">
        <v>2</v>
      </c>
      <c r="AQ22" s="3">
        <f>X22+1</f>
        <v>45689</v>
      </c>
      <c r="AR22" s="5">
        <f>AO22-AH22</f>
        <v>5.3870000000000005</v>
      </c>
      <c r="AS22" s="1">
        <v>14</v>
      </c>
      <c r="AT22" s="1">
        <v>26</v>
      </c>
      <c r="AU22" s="1">
        <v>72</v>
      </c>
      <c r="AV22" s="1">
        <f t="shared" si="5"/>
        <v>112</v>
      </c>
      <c r="AW22" s="1">
        <v>84</v>
      </c>
      <c r="AX22" s="1">
        <v>191</v>
      </c>
      <c r="AY22" s="1">
        <v>322</v>
      </c>
      <c r="AZ22" s="1">
        <f t="shared" si="6"/>
        <v>597</v>
      </c>
      <c r="BA22" s="1">
        <v>103</v>
      </c>
      <c r="BB22" s="1">
        <v>0</v>
      </c>
      <c r="BC22" s="1">
        <v>18</v>
      </c>
      <c r="BD22" s="1" t="s">
        <v>12</v>
      </c>
      <c r="BE22" s="1" t="s">
        <v>12</v>
      </c>
      <c r="BF22" s="1" t="s">
        <v>12</v>
      </c>
      <c r="BG22" s="1" t="s">
        <v>12</v>
      </c>
      <c r="BH22" s="1" t="s">
        <v>12</v>
      </c>
      <c r="BI22" s="1">
        <f>BA22+BB22+BC22</f>
        <v>121</v>
      </c>
      <c r="BJ22" s="1">
        <f t="shared" si="7"/>
        <v>830</v>
      </c>
      <c r="BK22" s="3" t="s">
        <v>12</v>
      </c>
      <c r="BL22" s="10" t="s">
        <v>12</v>
      </c>
      <c r="BM22" s="10" t="s">
        <v>12</v>
      </c>
      <c r="BN22" s="14" t="s">
        <v>12</v>
      </c>
      <c r="BO22" s="13" t="s">
        <v>12</v>
      </c>
      <c r="BP22" s="13" t="s">
        <v>12</v>
      </c>
      <c r="BQ22" s="13" t="s">
        <v>12</v>
      </c>
      <c r="BR22" s="13" t="s">
        <v>12</v>
      </c>
      <c r="BS22" s="13" t="s">
        <v>12</v>
      </c>
      <c r="BT22" s="13" t="s">
        <v>12</v>
      </c>
      <c r="BU22" s="13" t="s">
        <v>12</v>
      </c>
      <c r="BV22" s="13" t="s">
        <v>12</v>
      </c>
      <c r="BW22" s="13" t="s">
        <v>12</v>
      </c>
      <c r="BX22" s="13" t="s">
        <v>12</v>
      </c>
      <c r="BY22" s="13" t="s">
        <v>12</v>
      </c>
      <c r="BZ22" s="13" t="s">
        <v>12</v>
      </c>
      <c r="CA22" s="13" t="s">
        <v>12</v>
      </c>
      <c r="CB22" s="13" t="s">
        <v>12</v>
      </c>
      <c r="CC22" s="13" t="s">
        <v>12</v>
      </c>
      <c r="CD22" s="13"/>
      <c r="CE22" s="13" t="s">
        <v>12</v>
      </c>
      <c r="CF22" s="13" t="s">
        <v>12</v>
      </c>
      <c r="CG22" s="13" t="s">
        <v>12</v>
      </c>
      <c r="CH22" s="13" t="s">
        <v>12</v>
      </c>
      <c r="CI22" s="13" t="s">
        <v>12</v>
      </c>
      <c r="CJ22" s="13" t="s">
        <v>12</v>
      </c>
      <c r="CK22" s="13" t="s">
        <v>12</v>
      </c>
      <c r="CL22" s="13" t="s">
        <v>12</v>
      </c>
      <c r="CM22" s="13" t="s">
        <v>12</v>
      </c>
      <c r="CN22" s="13" t="s">
        <v>12</v>
      </c>
      <c r="CO22" s="13" t="s">
        <v>12</v>
      </c>
    </row>
    <row r="23" spans="1:99" x14ac:dyDescent="0.25">
      <c r="A23" s="1">
        <v>23</v>
      </c>
      <c r="B23" s="1">
        <v>21</v>
      </c>
      <c r="C23" s="2" t="s">
        <v>40</v>
      </c>
      <c r="D23" s="1" t="s">
        <v>280</v>
      </c>
      <c r="E23" s="1" t="s">
        <v>12</v>
      </c>
      <c r="F23" s="1" t="str">
        <f t="shared" si="0"/>
        <v>A</v>
      </c>
      <c r="G23" s="1" t="str">
        <f t="shared" si="1"/>
        <v>B</v>
      </c>
      <c r="H23" s="1">
        <v>1</v>
      </c>
      <c r="I23" s="1">
        <v>0</v>
      </c>
      <c r="J23" s="8" t="s">
        <v>278</v>
      </c>
      <c r="K23" s="1">
        <v>1</v>
      </c>
      <c r="L23" s="1">
        <v>1</v>
      </c>
      <c r="M23" s="8">
        <v>1</v>
      </c>
      <c r="N23" s="8">
        <v>5</v>
      </c>
      <c r="O23" s="8"/>
      <c r="P23" s="1" t="s">
        <v>8</v>
      </c>
      <c r="Q23" s="3">
        <v>45665</v>
      </c>
      <c r="R23" s="3">
        <v>45666</v>
      </c>
      <c r="S23" s="3">
        <v>45656</v>
      </c>
      <c r="T23" s="3">
        <v>45657</v>
      </c>
      <c r="U23" s="1">
        <f t="shared" si="2"/>
        <v>9</v>
      </c>
      <c r="V23" s="3">
        <v>45683</v>
      </c>
      <c r="W23" s="1">
        <f t="shared" si="8"/>
        <v>17</v>
      </c>
      <c r="X23" s="3">
        <v>45688</v>
      </c>
      <c r="Y23" s="1">
        <f t="shared" si="9"/>
        <v>22</v>
      </c>
      <c r="AA23" s="3">
        <v>45689</v>
      </c>
      <c r="AD23" s="11"/>
      <c r="AE23" s="11">
        <f>AA23</f>
        <v>45689</v>
      </c>
      <c r="AF23" s="1">
        <f t="shared" si="3"/>
        <v>23</v>
      </c>
      <c r="AG23" s="1">
        <v>1</v>
      </c>
      <c r="AH23" s="5">
        <v>0.97399999999999998</v>
      </c>
      <c r="AI23" s="1">
        <v>1</v>
      </c>
      <c r="AJ23" s="3">
        <v>45670</v>
      </c>
      <c r="AK23" s="5">
        <f t="shared" si="10"/>
        <v>7.4629999999999992</v>
      </c>
      <c r="AL23" s="5">
        <v>8.4369999999999994</v>
      </c>
      <c r="AM23" s="1">
        <v>2</v>
      </c>
      <c r="AN23" s="3">
        <f t="shared" si="11"/>
        <v>45684</v>
      </c>
      <c r="AO23" s="5" t="s">
        <v>12</v>
      </c>
      <c r="AP23" s="5" t="s">
        <v>12</v>
      </c>
      <c r="AQ23" s="3" t="s">
        <v>12</v>
      </c>
      <c r="AR23" s="1" t="s">
        <v>12</v>
      </c>
      <c r="AS23" s="1">
        <v>10</v>
      </c>
      <c r="AT23" s="1">
        <v>22</v>
      </c>
      <c r="AU23" s="1">
        <v>61</v>
      </c>
      <c r="AV23" s="1">
        <f t="shared" si="5"/>
        <v>93</v>
      </c>
      <c r="AW23" s="1">
        <v>64</v>
      </c>
      <c r="AX23" s="1">
        <v>260</v>
      </c>
      <c r="AY23" s="1">
        <v>294</v>
      </c>
      <c r="AZ23" s="1">
        <f t="shared" si="6"/>
        <v>618</v>
      </c>
      <c r="BA23" s="1">
        <v>24</v>
      </c>
      <c r="BB23" s="1">
        <v>0</v>
      </c>
      <c r="BC23" s="1">
        <v>0</v>
      </c>
      <c r="BD23" s="1" t="s">
        <v>12</v>
      </c>
      <c r="BE23" s="1" t="s">
        <v>12</v>
      </c>
      <c r="BF23" s="1" t="s">
        <v>12</v>
      </c>
      <c r="BG23" s="1" t="s">
        <v>12</v>
      </c>
      <c r="BH23" s="1" t="s">
        <v>12</v>
      </c>
      <c r="BI23" s="1">
        <f>BA23+BB23+BC23</f>
        <v>24</v>
      </c>
      <c r="BJ23" s="1">
        <f t="shared" si="7"/>
        <v>735</v>
      </c>
      <c r="BK23" s="3" t="s">
        <v>12</v>
      </c>
      <c r="BL23" s="10" t="s">
        <v>12</v>
      </c>
      <c r="BM23" s="10" t="s">
        <v>12</v>
      </c>
      <c r="BN23" s="14" t="s">
        <v>12</v>
      </c>
      <c r="BO23" s="13" t="s">
        <v>12</v>
      </c>
      <c r="BP23" s="13" t="s">
        <v>12</v>
      </c>
      <c r="BQ23" s="13" t="s">
        <v>12</v>
      </c>
      <c r="BR23" s="13" t="s">
        <v>12</v>
      </c>
      <c r="BS23" s="13" t="s">
        <v>12</v>
      </c>
      <c r="BT23" s="13" t="s">
        <v>12</v>
      </c>
      <c r="BU23" s="13" t="s">
        <v>12</v>
      </c>
      <c r="BV23" s="13" t="s">
        <v>12</v>
      </c>
      <c r="BW23" s="13" t="s">
        <v>12</v>
      </c>
      <c r="BX23" s="13" t="s">
        <v>12</v>
      </c>
      <c r="BY23" s="13" t="s">
        <v>12</v>
      </c>
      <c r="BZ23" s="13" t="s">
        <v>12</v>
      </c>
      <c r="CA23" s="13" t="s">
        <v>12</v>
      </c>
      <c r="CB23" s="13" t="s">
        <v>12</v>
      </c>
      <c r="CC23" s="13" t="s">
        <v>12</v>
      </c>
      <c r="CD23" s="13"/>
      <c r="CE23" s="13" t="s">
        <v>12</v>
      </c>
      <c r="CF23" s="13" t="s">
        <v>12</v>
      </c>
      <c r="CG23" s="13" t="s">
        <v>12</v>
      </c>
      <c r="CH23" s="13" t="s">
        <v>12</v>
      </c>
      <c r="CI23" s="13" t="s">
        <v>12</v>
      </c>
      <c r="CJ23" s="13" t="s">
        <v>12</v>
      </c>
      <c r="CK23" s="13" t="s">
        <v>12</v>
      </c>
      <c r="CL23" s="13" t="s">
        <v>12</v>
      </c>
      <c r="CM23" s="13" t="s">
        <v>12</v>
      </c>
      <c r="CN23" s="13" t="s">
        <v>12</v>
      </c>
      <c r="CO23" s="13" t="s">
        <v>12</v>
      </c>
    </row>
    <row r="24" spans="1:99" x14ac:dyDescent="0.25">
      <c r="A24" s="1">
        <v>24</v>
      </c>
      <c r="B24" s="1">
        <v>22</v>
      </c>
      <c r="C24" s="2" t="s">
        <v>28</v>
      </c>
      <c r="D24" s="3" t="s">
        <v>10</v>
      </c>
      <c r="E24" s="1" t="str">
        <f>D24</f>
        <v>m</v>
      </c>
      <c r="F24" s="1" t="str">
        <f t="shared" si="0"/>
        <v>C</v>
      </c>
      <c r="G24" s="1" t="str">
        <f t="shared" si="1"/>
        <v>A</v>
      </c>
      <c r="H24" s="1">
        <v>0</v>
      </c>
      <c r="I24" s="1">
        <v>0</v>
      </c>
      <c r="J24" s="8" t="s">
        <v>278</v>
      </c>
      <c r="K24" s="1">
        <v>1</v>
      </c>
      <c r="L24" s="1">
        <v>1</v>
      </c>
      <c r="M24" s="8">
        <v>2</v>
      </c>
      <c r="N24" s="8">
        <v>5</v>
      </c>
      <c r="O24" s="8">
        <v>1</v>
      </c>
      <c r="P24" s="1" t="s">
        <v>8</v>
      </c>
      <c r="Q24" s="3">
        <v>45665</v>
      </c>
      <c r="R24" s="3">
        <v>45666</v>
      </c>
      <c r="S24" s="3">
        <v>45656</v>
      </c>
      <c r="T24" s="3">
        <v>45657</v>
      </c>
      <c r="U24" s="1">
        <f t="shared" si="2"/>
        <v>9</v>
      </c>
      <c r="V24" s="3">
        <v>45682</v>
      </c>
      <c r="W24" s="1">
        <f t="shared" si="8"/>
        <v>16</v>
      </c>
      <c r="X24" s="3">
        <v>45687</v>
      </c>
      <c r="Y24" s="1">
        <f t="shared" si="9"/>
        <v>21</v>
      </c>
      <c r="Z24" s="1">
        <f>_xlfn.DAYS(BK24,X24)</f>
        <v>7</v>
      </c>
      <c r="AB24" s="3">
        <v>45697</v>
      </c>
      <c r="AD24" s="11" t="s">
        <v>86</v>
      </c>
      <c r="AE24" s="11">
        <v>45697</v>
      </c>
      <c r="AF24" s="1">
        <f t="shared" si="3"/>
        <v>31</v>
      </c>
      <c r="AG24" s="1">
        <v>0</v>
      </c>
      <c r="AH24" s="5">
        <v>1.0680000000000001</v>
      </c>
      <c r="AI24" s="1">
        <v>1</v>
      </c>
      <c r="AJ24" s="3">
        <v>45670</v>
      </c>
      <c r="AK24" s="5">
        <f t="shared" si="10"/>
        <v>6.6579999999999995</v>
      </c>
      <c r="AL24" s="5">
        <v>7.726</v>
      </c>
      <c r="AM24" s="1">
        <v>2</v>
      </c>
      <c r="AN24" s="3">
        <f t="shared" si="11"/>
        <v>45683</v>
      </c>
      <c r="AO24" s="1">
        <v>6.6710000000000003</v>
      </c>
      <c r="AP24" s="1">
        <v>1</v>
      </c>
      <c r="AQ24" s="3">
        <f>X24+1</f>
        <v>45688</v>
      </c>
      <c r="AR24" s="5">
        <f>AO24-AH24</f>
        <v>5.6029999999999998</v>
      </c>
      <c r="AS24" s="1">
        <v>14</v>
      </c>
      <c r="AT24" s="1">
        <v>30</v>
      </c>
      <c r="AU24" s="1">
        <v>78</v>
      </c>
      <c r="AV24" s="1">
        <f t="shared" si="5"/>
        <v>122</v>
      </c>
      <c r="AW24" s="1">
        <v>162</v>
      </c>
      <c r="AX24" s="1">
        <v>595</v>
      </c>
      <c r="AY24" s="1">
        <v>130</v>
      </c>
      <c r="AZ24" s="1">
        <f t="shared" si="6"/>
        <v>887</v>
      </c>
      <c r="BA24" s="1">
        <v>0</v>
      </c>
      <c r="BB24" s="1">
        <v>0</v>
      </c>
      <c r="BC24" s="1" t="s">
        <v>12</v>
      </c>
      <c r="BD24" s="1" t="s">
        <v>12</v>
      </c>
      <c r="BE24" s="1" t="s">
        <v>12</v>
      </c>
      <c r="BF24" s="1" t="s">
        <v>12</v>
      </c>
      <c r="BG24" s="1" t="s">
        <v>12</v>
      </c>
      <c r="BH24" s="1" t="s">
        <v>12</v>
      </c>
      <c r="BI24" s="1">
        <f>BA24+BB24</f>
        <v>0</v>
      </c>
      <c r="BJ24" s="1">
        <f t="shared" si="7"/>
        <v>1009</v>
      </c>
      <c r="BK24" s="3">
        <v>45694</v>
      </c>
      <c r="BL24" s="6" t="s">
        <v>26</v>
      </c>
      <c r="BM24" s="6"/>
      <c r="BN24" s="6" t="s">
        <v>187</v>
      </c>
      <c r="BO24" s="13">
        <v>56.2</v>
      </c>
      <c r="BP24" s="13">
        <v>3.4</v>
      </c>
      <c r="BQ24" s="1">
        <v>9</v>
      </c>
      <c r="BR24" s="1">
        <v>1</v>
      </c>
      <c r="BS24" s="1">
        <f>BQ24+BR24</f>
        <v>10</v>
      </c>
      <c r="BT24" s="1">
        <v>12</v>
      </c>
      <c r="BU24" s="1">
        <v>0</v>
      </c>
      <c r="BV24" s="1">
        <f>BT24+BU24</f>
        <v>12</v>
      </c>
      <c r="BW24" s="1">
        <v>14</v>
      </c>
      <c r="BX24" s="1">
        <v>0</v>
      </c>
      <c r="BY24" s="1">
        <f>BW24+BX24</f>
        <v>14</v>
      </c>
      <c r="BZ24" s="1">
        <v>17</v>
      </c>
      <c r="CA24" s="1">
        <v>0</v>
      </c>
      <c r="CB24" s="1">
        <f>BZ24+CA24</f>
        <v>17</v>
      </c>
      <c r="CC24" s="1">
        <f>BS24+BV24+BY24+CB24</f>
        <v>53</v>
      </c>
      <c r="CE24" s="7">
        <f>CC24+CD24</f>
        <v>53</v>
      </c>
      <c r="CF24" s="8">
        <v>2</v>
      </c>
      <c r="CG24" s="8">
        <v>7</v>
      </c>
      <c r="CH24" s="8">
        <v>6</v>
      </c>
      <c r="CI24" s="8">
        <v>8</v>
      </c>
      <c r="CJ24" s="8">
        <v>3</v>
      </c>
      <c r="CK24" s="8">
        <v>0</v>
      </c>
      <c r="CL24" s="8">
        <v>0</v>
      </c>
      <c r="CM24" s="8">
        <v>0</v>
      </c>
      <c r="CN24" s="1">
        <f>CF24+CG24+CH24+CI24+CJ24+CK24+CL24+CM24</f>
        <v>26</v>
      </c>
      <c r="CO24" s="1">
        <f>CN24/CE24</f>
        <v>0.49056603773584906</v>
      </c>
      <c r="CP24" s="8">
        <v>4.47</v>
      </c>
      <c r="CQ24" s="8">
        <v>4</v>
      </c>
      <c r="CR24" s="1">
        <f>CP24/CQ24</f>
        <v>1.1174999999999999</v>
      </c>
      <c r="CS24" s="1">
        <v>3.7389999999999999</v>
      </c>
      <c r="CT24" s="8">
        <v>5</v>
      </c>
      <c r="CU24" s="1">
        <f>CS24/CT24</f>
        <v>0.74780000000000002</v>
      </c>
    </row>
    <row r="25" spans="1:99" x14ac:dyDescent="0.25">
      <c r="A25" s="1">
        <v>25</v>
      </c>
      <c r="B25" s="1">
        <v>23</v>
      </c>
      <c r="C25" s="2" t="s">
        <v>41</v>
      </c>
      <c r="D25" s="3" t="s">
        <v>27</v>
      </c>
      <c r="E25" s="1" t="str">
        <f>D25</f>
        <v>f</v>
      </c>
      <c r="F25" s="1" t="str">
        <f t="shared" si="0"/>
        <v>I</v>
      </c>
      <c r="G25" s="1" t="str">
        <f t="shared" si="1"/>
        <v>C</v>
      </c>
      <c r="H25" s="1">
        <v>0</v>
      </c>
      <c r="I25" s="1">
        <v>1</v>
      </c>
      <c r="J25" s="8" t="s">
        <v>278</v>
      </c>
      <c r="K25" s="1">
        <v>1</v>
      </c>
      <c r="L25" s="1">
        <v>1</v>
      </c>
      <c r="M25" s="8">
        <v>3</v>
      </c>
      <c r="N25" s="8">
        <v>5</v>
      </c>
      <c r="O25" s="8">
        <v>1</v>
      </c>
      <c r="P25" s="1" t="s">
        <v>8</v>
      </c>
      <c r="Q25" s="3">
        <v>45665</v>
      </c>
      <c r="R25" s="3">
        <v>45666</v>
      </c>
      <c r="S25" s="3">
        <v>45656</v>
      </c>
      <c r="T25" s="3">
        <v>45657</v>
      </c>
      <c r="U25" s="1">
        <f t="shared" si="2"/>
        <v>9</v>
      </c>
      <c r="V25" s="3">
        <v>45682</v>
      </c>
      <c r="W25" s="1">
        <f t="shared" si="8"/>
        <v>16</v>
      </c>
      <c r="X25" s="3">
        <v>45687</v>
      </c>
      <c r="Y25" s="1">
        <f t="shared" si="9"/>
        <v>21</v>
      </c>
      <c r="Z25" s="1">
        <f>_xlfn.DAYS(BK25,X25)</f>
        <v>7</v>
      </c>
      <c r="AB25" s="3">
        <v>45700</v>
      </c>
      <c r="AD25" s="11" t="s">
        <v>86</v>
      </c>
      <c r="AE25" s="11">
        <v>45697</v>
      </c>
      <c r="AF25" s="1">
        <f t="shared" si="3"/>
        <v>31</v>
      </c>
      <c r="AG25" s="1">
        <v>0</v>
      </c>
      <c r="AH25" s="5">
        <v>1.1419999999999999</v>
      </c>
      <c r="AI25" s="1">
        <v>1</v>
      </c>
      <c r="AJ25" s="3">
        <v>45670</v>
      </c>
      <c r="AK25" s="5">
        <f t="shared" si="10"/>
        <v>8.0660000000000007</v>
      </c>
      <c r="AL25" s="5">
        <v>9.2080000000000002</v>
      </c>
      <c r="AM25" s="1">
        <v>2</v>
      </c>
      <c r="AN25" s="3">
        <f t="shared" si="11"/>
        <v>45683</v>
      </c>
      <c r="AO25" s="1">
        <v>9.8490000000000002</v>
      </c>
      <c r="AP25" s="1">
        <v>1</v>
      </c>
      <c r="AQ25" s="3">
        <f>X25+1</f>
        <v>45688</v>
      </c>
      <c r="AR25" s="5">
        <f>AO25-AH25</f>
        <v>8.7070000000000007</v>
      </c>
      <c r="AS25" s="1">
        <v>13</v>
      </c>
      <c r="AT25" s="1">
        <v>35</v>
      </c>
      <c r="AU25" s="1">
        <v>101</v>
      </c>
      <c r="AV25" s="1">
        <f t="shared" si="5"/>
        <v>149</v>
      </c>
      <c r="AW25" s="1">
        <v>113</v>
      </c>
      <c r="AX25" s="1">
        <v>280</v>
      </c>
      <c r="AY25" s="1">
        <v>166</v>
      </c>
      <c r="AZ25" s="1">
        <f t="shared" si="6"/>
        <v>559</v>
      </c>
      <c r="BA25" s="1">
        <v>0</v>
      </c>
      <c r="BB25" s="1">
        <v>0</v>
      </c>
      <c r="BC25" s="1" t="s">
        <v>12</v>
      </c>
      <c r="BD25" s="1" t="s">
        <v>12</v>
      </c>
      <c r="BE25" s="1" t="s">
        <v>12</v>
      </c>
      <c r="BF25" s="1" t="s">
        <v>12</v>
      </c>
      <c r="BG25" s="1" t="s">
        <v>12</v>
      </c>
      <c r="BH25" s="1" t="s">
        <v>12</v>
      </c>
      <c r="BI25" s="1">
        <f>BA25+BB25</f>
        <v>0</v>
      </c>
      <c r="BJ25" s="1">
        <f t="shared" si="7"/>
        <v>708</v>
      </c>
      <c r="BK25" s="3">
        <v>45694</v>
      </c>
      <c r="BL25" s="6"/>
      <c r="BM25" s="6" t="s">
        <v>19</v>
      </c>
      <c r="BN25" s="6" t="s">
        <v>188</v>
      </c>
      <c r="BO25" s="13">
        <v>0</v>
      </c>
      <c r="BP25" s="13">
        <v>60</v>
      </c>
      <c r="BQ25" s="1">
        <v>7</v>
      </c>
      <c r="BR25" s="1">
        <v>1</v>
      </c>
      <c r="BS25" s="1">
        <f>BQ25+BR25</f>
        <v>8</v>
      </c>
      <c r="BT25" s="1">
        <v>1</v>
      </c>
      <c r="BU25" s="1">
        <v>0</v>
      </c>
      <c r="BV25" s="1">
        <f>BT25+BU25</f>
        <v>1</v>
      </c>
      <c r="BW25" s="1">
        <v>6</v>
      </c>
      <c r="BX25" s="1">
        <v>1</v>
      </c>
      <c r="BY25" s="1">
        <f>BW25+BX25</f>
        <v>7</v>
      </c>
      <c r="BZ25" s="1">
        <v>7</v>
      </c>
      <c r="CA25" s="1">
        <v>0</v>
      </c>
      <c r="CB25" s="1">
        <f>BZ25+CA25</f>
        <v>7</v>
      </c>
      <c r="CC25" s="1">
        <f>BS25+BV25+BY25+CB25</f>
        <v>23</v>
      </c>
      <c r="CE25" s="7">
        <f>CC25+CD25</f>
        <v>23</v>
      </c>
      <c r="CF25" s="8">
        <v>1</v>
      </c>
      <c r="CG25" s="8">
        <v>5</v>
      </c>
      <c r="CH25" s="8">
        <v>5</v>
      </c>
      <c r="CI25" s="8">
        <v>5</v>
      </c>
      <c r="CJ25" s="8">
        <v>5</v>
      </c>
      <c r="CK25" s="8">
        <v>0</v>
      </c>
      <c r="CL25" s="8">
        <v>0</v>
      </c>
      <c r="CM25" s="8">
        <v>0</v>
      </c>
      <c r="CN25" s="1">
        <f>CF25+CG25+CH25+CI25+CJ25+CK25+CL25+CM25</f>
        <v>21</v>
      </c>
      <c r="CO25" s="1">
        <f>CN25/CE25</f>
        <v>0.91304347826086951</v>
      </c>
      <c r="CP25" s="8">
        <v>4.6040000000000001</v>
      </c>
      <c r="CQ25" s="8">
        <v>5</v>
      </c>
      <c r="CR25" s="1">
        <f>CP25/CQ25</f>
        <v>0.92080000000000006</v>
      </c>
      <c r="CS25" s="1">
        <v>7.61</v>
      </c>
      <c r="CT25" s="8">
        <v>5</v>
      </c>
      <c r="CU25" s="1">
        <f>CS25/CT25</f>
        <v>1.522</v>
      </c>
    </row>
    <row r="26" spans="1:99" x14ac:dyDescent="0.25">
      <c r="A26" s="1">
        <v>26</v>
      </c>
      <c r="B26" s="1">
        <v>24</v>
      </c>
      <c r="C26" s="2" t="s">
        <v>42</v>
      </c>
      <c r="D26" s="3" t="s">
        <v>10</v>
      </c>
      <c r="E26" s="1" t="str">
        <f>D26</f>
        <v>m</v>
      </c>
      <c r="F26" s="1" t="str">
        <f t="shared" si="0"/>
        <v>I</v>
      </c>
      <c r="G26" s="1" t="str">
        <f t="shared" si="1"/>
        <v>C</v>
      </c>
      <c r="H26" s="1">
        <v>0</v>
      </c>
      <c r="I26" s="1">
        <v>1</v>
      </c>
      <c r="J26" s="8" t="s">
        <v>278</v>
      </c>
      <c r="K26" s="1">
        <v>2</v>
      </c>
      <c r="L26" s="1">
        <v>1</v>
      </c>
      <c r="M26" s="1">
        <v>3</v>
      </c>
      <c r="N26" s="8">
        <v>6.2</v>
      </c>
      <c r="O26" s="8">
        <v>1</v>
      </c>
      <c r="P26" s="1" t="s">
        <v>8</v>
      </c>
      <c r="Q26" s="3">
        <v>45665</v>
      </c>
      <c r="R26" s="3">
        <v>45666</v>
      </c>
      <c r="S26" s="3">
        <v>45656</v>
      </c>
      <c r="T26" s="3">
        <v>45657</v>
      </c>
      <c r="U26" s="1">
        <f t="shared" si="2"/>
        <v>9</v>
      </c>
      <c r="V26" s="3">
        <v>45684</v>
      </c>
      <c r="W26" s="1">
        <f t="shared" si="8"/>
        <v>18</v>
      </c>
      <c r="X26" s="3">
        <v>45689</v>
      </c>
      <c r="Y26" s="1">
        <f t="shared" si="9"/>
        <v>23</v>
      </c>
      <c r="Z26" s="1">
        <f>_xlfn.DAYS(BK26,X26)</f>
        <v>8</v>
      </c>
      <c r="AB26" s="3">
        <v>45699</v>
      </c>
      <c r="AD26" s="11" t="s">
        <v>86</v>
      </c>
      <c r="AE26" s="11">
        <v>45697</v>
      </c>
      <c r="AF26" s="1">
        <f t="shared" si="3"/>
        <v>31</v>
      </c>
      <c r="AG26" s="1">
        <v>0</v>
      </c>
      <c r="AH26" s="5">
        <v>0.82299999999999995</v>
      </c>
      <c r="AI26" s="1">
        <v>2</v>
      </c>
      <c r="AJ26" s="3">
        <v>45670</v>
      </c>
      <c r="AK26" s="5">
        <f t="shared" si="10"/>
        <v>6.9849999999999994</v>
      </c>
      <c r="AL26" s="5">
        <v>7.8079999999999998</v>
      </c>
      <c r="AM26" s="1">
        <v>1</v>
      </c>
      <c r="AN26" s="3">
        <f t="shared" si="11"/>
        <v>45685</v>
      </c>
      <c r="AO26" s="1">
        <v>7.2249999999999996</v>
      </c>
      <c r="AP26" s="1">
        <v>2</v>
      </c>
      <c r="AQ26" s="3">
        <f>X26+1</f>
        <v>45690</v>
      </c>
      <c r="AR26" s="5">
        <f>AO26-AH26</f>
        <v>6.4019999999999992</v>
      </c>
      <c r="AS26" s="1">
        <v>10</v>
      </c>
      <c r="AT26" s="1">
        <v>17</v>
      </c>
      <c r="AU26" s="1">
        <v>53</v>
      </c>
      <c r="AV26" s="1">
        <f t="shared" si="5"/>
        <v>80</v>
      </c>
      <c r="AW26" s="1">
        <v>35</v>
      </c>
      <c r="AX26" s="1">
        <v>152</v>
      </c>
      <c r="AY26" s="1">
        <v>372</v>
      </c>
      <c r="AZ26" s="1">
        <f t="shared" si="6"/>
        <v>559</v>
      </c>
      <c r="BA26" s="1">
        <v>160</v>
      </c>
      <c r="BB26" s="1">
        <v>0</v>
      </c>
      <c r="BC26" s="1">
        <v>0</v>
      </c>
      <c r="BD26" s="1" t="s">
        <v>12</v>
      </c>
      <c r="BE26" s="1" t="s">
        <v>12</v>
      </c>
      <c r="BF26" s="1" t="s">
        <v>12</v>
      </c>
      <c r="BG26" s="1" t="s">
        <v>12</v>
      </c>
      <c r="BH26" s="1" t="s">
        <v>12</v>
      </c>
      <c r="BI26" s="1">
        <f>BA26+BB26+BC26</f>
        <v>160</v>
      </c>
      <c r="BJ26" s="1">
        <f t="shared" si="7"/>
        <v>799</v>
      </c>
      <c r="BK26" s="3">
        <v>45697</v>
      </c>
      <c r="BL26" s="6" t="s">
        <v>43</v>
      </c>
      <c r="BM26" s="6"/>
      <c r="BN26" s="6" t="s">
        <v>213</v>
      </c>
      <c r="BO26" s="13">
        <v>48.08</v>
      </c>
      <c r="BP26" s="13">
        <v>11.52</v>
      </c>
      <c r="BQ26" s="1">
        <v>7</v>
      </c>
      <c r="BR26" s="1">
        <v>2</v>
      </c>
      <c r="BS26" s="1">
        <f>BQ26+BR26</f>
        <v>9</v>
      </c>
      <c r="BT26" s="1">
        <v>13</v>
      </c>
      <c r="BU26" s="1">
        <v>0</v>
      </c>
      <c r="BV26" s="1">
        <f>BT26+BU26</f>
        <v>13</v>
      </c>
      <c r="BW26" s="1">
        <v>14</v>
      </c>
      <c r="BX26" s="1">
        <v>0</v>
      </c>
      <c r="BY26" s="1">
        <f>BW26+BX26</f>
        <v>14</v>
      </c>
      <c r="BZ26" s="1">
        <v>14</v>
      </c>
      <c r="CA26" s="1">
        <v>0</v>
      </c>
      <c r="CB26" s="1">
        <f>BZ26+CA26</f>
        <v>14</v>
      </c>
      <c r="CC26" s="1">
        <f>BS26+BV26+BY26+CB26</f>
        <v>50</v>
      </c>
      <c r="CE26" s="7">
        <f>CC26+CD26</f>
        <v>50</v>
      </c>
      <c r="CF26" s="8">
        <v>6</v>
      </c>
      <c r="CG26" s="8">
        <v>9</v>
      </c>
      <c r="CH26" s="8">
        <v>17</v>
      </c>
      <c r="CI26" s="8">
        <v>18</v>
      </c>
      <c r="CJ26" s="8">
        <v>0</v>
      </c>
      <c r="CK26" s="8">
        <v>0</v>
      </c>
      <c r="CL26" s="8">
        <v>0</v>
      </c>
      <c r="CM26" s="8">
        <v>0</v>
      </c>
      <c r="CN26" s="1">
        <f>CF26+CG26+CH26+CI26+CJ26+CK26+CL26+CM26</f>
        <v>50</v>
      </c>
      <c r="CO26" s="1">
        <f>CN26/CE26</f>
        <v>1</v>
      </c>
      <c r="CP26" s="8">
        <v>3.8679999999999999</v>
      </c>
      <c r="CQ26" s="8">
        <v>5</v>
      </c>
      <c r="CR26" s="1">
        <f>CP26/CQ26</f>
        <v>0.77359999999999995</v>
      </c>
      <c r="CS26" s="1">
        <v>3.569</v>
      </c>
      <c r="CT26" s="8">
        <v>5</v>
      </c>
      <c r="CU26" s="1">
        <f>CS26/CT26</f>
        <v>0.71379999999999999</v>
      </c>
    </row>
    <row r="27" spans="1:99" x14ac:dyDescent="0.25">
      <c r="A27" s="1">
        <v>27</v>
      </c>
      <c r="B27" s="1">
        <v>25</v>
      </c>
      <c r="C27" s="2" t="s">
        <v>21</v>
      </c>
      <c r="D27" s="3" t="s">
        <v>27</v>
      </c>
      <c r="E27" s="1" t="str">
        <f>D27</f>
        <v>f</v>
      </c>
      <c r="F27" s="1" t="str">
        <f t="shared" si="0"/>
        <v>C</v>
      </c>
      <c r="G27" s="1" t="str">
        <f t="shared" si="1"/>
        <v>A</v>
      </c>
      <c r="H27" s="1">
        <v>0</v>
      </c>
      <c r="I27" s="1">
        <v>0</v>
      </c>
      <c r="J27" s="8" t="s">
        <v>278</v>
      </c>
      <c r="K27" s="8">
        <v>2</v>
      </c>
      <c r="L27" s="8">
        <v>1</v>
      </c>
      <c r="M27" s="1">
        <v>2</v>
      </c>
      <c r="N27" s="8">
        <v>6.2</v>
      </c>
      <c r="O27" s="8">
        <v>1</v>
      </c>
      <c r="P27" s="1" t="s">
        <v>8</v>
      </c>
      <c r="Q27" s="3">
        <v>45665</v>
      </c>
      <c r="R27" s="3">
        <v>45666</v>
      </c>
      <c r="S27" s="3">
        <v>45656</v>
      </c>
      <c r="T27" s="3">
        <v>45657</v>
      </c>
      <c r="U27" s="1">
        <f t="shared" si="2"/>
        <v>9</v>
      </c>
      <c r="V27" s="3">
        <v>45682</v>
      </c>
      <c r="W27" s="1">
        <f t="shared" si="8"/>
        <v>16</v>
      </c>
      <c r="X27" s="3">
        <v>45688</v>
      </c>
      <c r="Y27" s="1">
        <f t="shared" si="9"/>
        <v>22</v>
      </c>
      <c r="Z27" s="1">
        <f>_xlfn.DAYS(BK27,X27)</f>
        <v>7</v>
      </c>
      <c r="AB27" s="3">
        <v>45701</v>
      </c>
      <c r="AD27" s="11" t="s">
        <v>86</v>
      </c>
      <c r="AE27" s="11">
        <v>45697</v>
      </c>
      <c r="AF27" s="1">
        <f t="shared" si="3"/>
        <v>31</v>
      </c>
      <c r="AG27" s="8">
        <v>0</v>
      </c>
      <c r="AH27" s="5">
        <v>1.04</v>
      </c>
      <c r="AI27" s="1">
        <v>2</v>
      </c>
      <c r="AJ27" s="3">
        <v>45670</v>
      </c>
      <c r="AK27" s="5">
        <f t="shared" si="10"/>
        <v>7.2139999999999995</v>
      </c>
      <c r="AL27" s="5">
        <v>8.2539999999999996</v>
      </c>
      <c r="AM27" s="1">
        <v>2</v>
      </c>
      <c r="AN27" s="3">
        <f t="shared" si="11"/>
        <v>45683</v>
      </c>
      <c r="AO27" s="8">
        <v>8.3279999999999994</v>
      </c>
      <c r="AP27" s="8">
        <v>2</v>
      </c>
      <c r="AQ27" s="3">
        <f>X27+1</f>
        <v>45689</v>
      </c>
      <c r="AR27" s="5">
        <f>AO27-AH27</f>
        <v>7.2879999999999994</v>
      </c>
      <c r="AS27" s="1">
        <v>10</v>
      </c>
      <c r="AT27" s="1">
        <v>23</v>
      </c>
      <c r="AU27" s="1">
        <v>65</v>
      </c>
      <c r="AV27" s="1">
        <f t="shared" si="5"/>
        <v>98</v>
      </c>
      <c r="AW27" s="1">
        <v>85</v>
      </c>
      <c r="AX27" s="1">
        <v>251</v>
      </c>
      <c r="AY27" s="1">
        <v>326</v>
      </c>
      <c r="AZ27" s="1">
        <f t="shared" si="6"/>
        <v>662</v>
      </c>
      <c r="BA27" s="1">
        <v>0</v>
      </c>
      <c r="BB27" s="1">
        <v>0</v>
      </c>
      <c r="BC27" s="1" t="s">
        <v>12</v>
      </c>
      <c r="BD27" s="1" t="s">
        <v>12</v>
      </c>
      <c r="BE27" s="1" t="s">
        <v>12</v>
      </c>
      <c r="BF27" s="1" t="s">
        <v>12</v>
      </c>
      <c r="BG27" s="1" t="s">
        <v>12</v>
      </c>
      <c r="BH27" s="1" t="s">
        <v>12</v>
      </c>
      <c r="BI27" s="1">
        <f>BA27+BB27</f>
        <v>0</v>
      </c>
      <c r="BJ27" s="1">
        <f t="shared" si="7"/>
        <v>760</v>
      </c>
      <c r="BK27" s="3">
        <v>45695</v>
      </c>
      <c r="BL27" s="6"/>
      <c r="BM27" s="6" t="s">
        <v>20</v>
      </c>
      <c r="BN27" s="6" t="s">
        <v>189</v>
      </c>
      <c r="BO27" s="13">
        <v>57.15</v>
      </c>
      <c r="BP27" s="13">
        <v>2.4500000000000002</v>
      </c>
      <c r="BQ27" s="1">
        <v>6</v>
      </c>
      <c r="BR27" s="1">
        <v>0</v>
      </c>
      <c r="BS27" s="1">
        <f>BQ27+BR27</f>
        <v>6</v>
      </c>
      <c r="BT27" s="1">
        <v>11</v>
      </c>
      <c r="BU27" s="1">
        <v>0</v>
      </c>
      <c r="BV27" s="1">
        <f>BT27+BU27</f>
        <v>11</v>
      </c>
      <c r="BW27" s="1">
        <v>14</v>
      </c>
      <c r="BX27" s="1">
        <v>0</v>
      </c>
      <c r="BY27" s="1">
        <f>BW27+BX27</f>
        <v>14</v>
      </c>
      <c r="BZ27" s="1">
        <v>8</v>
      </c>
      <c r="CA27" s="1">
        <v>0</v>
      </c>
      <c r="CB27" s="1">
        <f>BZ27+CA27</f>
        <v>8</v>
      </c>
      <c r="CC27" s="1">
        <f>BS27+BV27+BY27+CB27</f>
        <v>39</v>
      </c>
      <c r="CE27" s="7">
        <f>CC27+CD27</f>
        <v>39</v>
      </c>
      <c r="CF27" s="8">
        <v>2</v>
      </c>
      <c r="CG27" s="8">
        <v>4</v>
      </c>
      <c r="CH27" s="8">
        <v>4</v>
      </c>
      <c r="CI27" s="8">
        <v>8</v>
      </c>
      <c r="CJ27" s="8">
        <v>1</v>
      </c>
      <c r="CK27" s="8">
        <v>0</v>
      </c>
      <c r="CL27" s="8">
        <v>0</v>
      </c>
      <c r="CM27" s="8">
        <v>0</v>
      </c>
      <c r="CN27" s="1">
        <f>CF27+CG27+CH27+CI27+CJ27+CK27+CL27+CM27</f>
        <v>19</v>
      </c>
      <c r="CO27" s="1">
        <f>CN27/CE27</f>
        <v>0.48717948717948717</v>
      </c>
      <c r="CP27" s="8">
        <v>1.458</v>
      </c>
      <c r="CQ27" s="8">
        <v>3</v>
      </c>
      <c r="CR27" s="1">
        <f>CP27/CQ27</f>
        <v>0.48599999999999999</v>
      </c>
      <c r="CS27" s="1">
        <v>3.9849999999999999</v>
      </c>
      <c r="CT27" s="8">
        <v>4</v>
      </c>
      <c r="CU27" s="1">
        <f>CS27/CT27</f>
        <v>0.99624999999999997</v>
      </c>
    </row>
    <row r="28" spans="1:99" x14ac:dyDescent="0.25">
      <c r="A28" s="1">
        <v>28</v>
      </c>
      <c r="B28" s="1">
        <v>26</v>
      </c>
      <c r="C28" s="2" t="s">
        <v>44</v>
      </c>
      <c r="D28" s="1" t="s">
        <v>280</v>
      </c>
      <c r="E28" s="1" t="s">
        <v>12</v>
      </c>
      <c r="F28" s="1" t="str">
        <f t="shared" si="0"/>
        <v>M</v>
      </c>
      <c r="G28" s="1" t="str">
        <f t="shared" si="1"/>
        <v>D</v>
      </c>
      <c r="H28" s="1">
        <v>1</v>
      </c>
      <c r="I28" s="1">
        <v>1</v>
      </c>
      <c r="J28" s="8" t="s">
        <v>276</v>
      </c>
      <c r="K28" s="8">
        <v>2</v>
      </c>
      <c r="L28" s="8">
        <v>1</v>
      </c>
      <c r="M28" s="1">
        <v>1</v>
      </c>
      <c r="N28" s="8">
        <v>6.2</v>
      </c>
      <c r="O28" s="8"/>
      <c r="P28" s="1" t="s">
        <v>8</v>
      </c>
      <c r="Q28" s="3">
        <v>45665</v>
      </c>
      <c r="R28" s="3">
        <v>45666</v>
      </c>
      <c r="S28" s="3">
        <v>45656</v>
      </c>
      <c r="T28" s="3">
        <v>45657</v>
      </c>
      <c r="U28" s="1">
        <f t="shared" si="2"/>
        <v>9</v>
      </c>
      <c r="V28" s="3">
        <v>45685</v>
      </c>
      <c r="W28" s="1">
        <f t="shared" si="8"/>
        <v>19</v>
      </c>
      <c r="X28" s="1" t="s">
        <v>12</v>
      </c>
      <c r="Y28" s="1" t="s">
        <v>12</v>
      </c>
      <c r="AA28" s="3">
        <v>45690</v>
      </c>
      <c r="AD28" s="11"/>
      <c r="AE28" s="11">
        <f>AA28</f>
        <v>45690</v>
      </c>
      <c r="AF28" s="1">
        <f t="shared" si="3"/>
        <v>24</v>
      </c>
      <c r="AG28" s="1">
        <v>1</v>
      </c>
      <c r="AH28" s="5">
        <v>1.0069999999999999</v>
      </c>
      <c r="AI28" s="1">
        <v>2</v>
      </c>
      <c r="AJ28" s="3">
        <v>45670</v>
      </c>
      <c r="AK28" s="5">
        <f t="shared" si="10"/>
        <v>8.2320000000000011</v>
      </c>
      <c r="AL28" s="5">
        <v>9.2390000000000008</v>
      </c>
      <c r="AM28" s="1">
        <v>1</v>
      </c>
      <c r="AN28" s="3">
        <f t="shared" si="11"/>
        <v>45686</v>
      </c>
      <c r="AO28" s="1" t="s">
        <v>12</v>
      </c>
      <c r="AP28" s="5" t="s">
        <v>12</v>
      </c>
      <c r="AQ28" s="3" t="s">
        <v>12</v>
      </c>
      <c r="AR28" s="1" t="s">
        <v>12</v>
      </c>
      <c r="AS28" s="1">
        <v>14</v>
      </c>
      <c r="AT28" s="1">
        <v>30</v>
      </c>
      <c r="AU28" s="1">
        <v>81</v>
      </c>
      <c r="AV28" s="1">
        <f t="shared" si="5"/>
        <v>125</v>
      </c>
      <c r="AW28" s="1">
        <v>55</v>
      </c>
      <c r="AX28" s="1">
        <v>128</v>
      </c>
      <c r="AY28" s="1">
        <v>267</v>
      </c>
      <c r="AZ28" s="1">
        <f t="shared" si="6"/>
        <v>450</v>
      </c>
      <c r="BA28" s="1">
        <v>222</v>
      </c>
      <c r="BB28" s="1">
        <v>24</v>
      </c>
      <c r="BC28" s="1">
        <v>0</v>
      </c>
      <c r="BD28" s="1">
        <v>0</v>
      </c>
      <c r="BE28" s="1">
        <v>0</v>
      </c>
      <c r="BF28" s="1" t="s">
        <v>12</v>
      </c>
      <c r="BG28" s="1" t="s">
        <v>12</v>
      </c>
      <c r="BH28" s="1" t="s">
        <v>12</v>
      </c>
      <c r="BI28" s="1">
        <f>BA28+BB28+BC28+BD28</f>
        <v>246</v>
      </c>
      <c r="BJ28" s="1">
        <f t="shared" si="7"/>
        <v>821</v>
      </c>
      <c r="BK28" s="3" t="s">
        <v>12</v>
      </c>
      <c r="BL28" s="10" t="s">
        <v>12</v>
      </c>
      <c r="BM28" s="10" t="s">
        <v>12</v>
      </c>
      <c r="BN28" s="14" t="s">
        <v>12</v>
      </c>
      <c r="BO28" s="13" t="s">
        <v>12</v>
      </c>
      <c r="BP28" s="13" t="s">
        <v>12</v>
      </c>
      <c r="BQ28" s="13" t="s">
        <v>12</v>
      </c>
      <c r="BR28" s="13" t="s">
        <v>12</v>
      </c>
      <c r="BS28" s="13" t="s">
        <v>12</v>
      </c>
      <c r="BT28" s="13" t="s">
        <v>12</v>
      </c>
      <c r="BU28" s="13" t="s">
        <v>12</v>
      </c>
      <c r="BV28" s="13" t="s">
        <v>12</v>
      </c>
      <c r="BW28" s="13" t="s">
        <v>12</v>
      </c>
      <c r="BX28" s="13" t="s">
        <v>12</v>
      </c>
      <c r="BY28" s="13" t="s">
        <v>12</v>
      </c>
      <c r="BZ28" s="13" t="s">
        <v>12</v>
      </c>
      <c r="CA28" s="13" t="s">
        <v>12</v>
      </c>
      <c r="CB28" s="13" t="s">
        <v>12</v>
      </c>
      <c r="CC28" s="13" t="s">
        <v>12</v>
      </c>
      <c r="CD28" s="13"/>
      <c r="CE28" s="13" t="s">
        <v>12</v>
      </c>
      <c r="CF28" s="13" t="s">
        <v>12</v>
      </c>
      <c r="CG28" s="13" t="s">
        <v>12</v>
      </c>
      <c r="CH28" s="13" t="s">
        <v>12</v>
      </c>
      <c r="CI28" s="13" t="s">
        <v>12</v>
      </c>
      <c r="CJ28" s="13" t="s">
        <v>12</v>
      </c>
      <c r="CK28" s="13" t="s">
        <v>12</v>
      </c>
      <c r="CL28" s="13" t="s">
        <v>12</v>
      </c>
      <c r="CM28" s="13" t="s">
        <v>12</v>
      </c>
      <c r="CN28" s="13" t="s">
        <v>12</v>
      </c>
      <c r="CO28" s="13" t="s">
        <v>12</v>
      </c>
    </row>
    <row r="29" spans="1:99" x14ac:dyDescent="0.25">
      <c r="A29" s="1">
        <v>29</v>
      </c>
      <c r="B29" s="1">
        <v>27</v>
      </c>
      <c r="C29" s="2" t="s">
        <v>45</v>
      </c>
      <c r="D29" s="3" t="s">
        <v>27</v>
      </c>
      <c r="E29" s="1" t="str">
        <f t="shared" ref="E29:E36" si="12">D29</f>
        <v>f</v>
      </c>
      <c r="F29" s="1" t="str">
        <f t="shared" si="0"/>
        <v>A</v>
      </c>
      <c r="G29" s="1" t="str">
        <f t="shared" si="1"/>
        <v>B</v>
      </c>
      <c r="H29" s="1">
        <v>1</v>
      </c>
      <c r="I29" s="1">
        <v>0</v>
      </c>
      <c r="J29" s="8" t="s">
        <v>278</v>
      </c>
      <c r="K29" s="8">
        <v>2</v>
      </c>
      <c r="L29" s="8">
        <v>1</v>
      </c>
      <c r="M29" s="8">
        <v>0</v>
      </c>
      <c r="N29" s="8">
        <v>6.2</v>
      </c>
      <c r="O29" s="8">
        <v>1</v>
      </c>
      <c r="P29" s="1" t="s">
        <v>8</v>
      </c>
      <c r="Q29" s="3">
        <v>45665</v>
      </c>
      <c r="R29" s="3">
        <v>45666</v>
      </c>
      <c r="S29" s="3">
        <v>45656</v>
      </c>
      <c r="T29" s="3">
        <v>45657</v>
      </c>
      <c r="U29" s="1">
        <f t="shared" si="2"/>
        <v>9</v>
      </c>
      <c r="V29" s="3">
        <v>45683</v>
      </c>
      <c r="W29" s="1">
        <f t="shared" si="8"/>
        <v>17</v>
      </c>
      <c r="X29" s="3">
        <v>45689</v>
      </c>
      <c r="Y29" s="1">
        <f t="shared" ref="Y29:Y36" si="13">_xlfn.DAYS(X29,R29)</f>
        <v>23</v>
      </c>
      <c r="Z29" s="1">
        <f>_xlfn.DAYS(BK29,X29)</f>
        <v>7</v>
      </c>
      <c r="AB29" s="3">
        <v>45702</v>
      </c>
      <c r="AD29" s="11" t="s">
        <v>86</v>
      </c>
      <c r="AE29" s="11">
        <v>45697</v>
      </c>
      <c r="AF29" s="1">
        <f t="shared" si="3"/>
        <v>31</v>
      </c>
      <c r="AG29" s="8">
        <v>0</v>
      </c>
      <c r="AH29" s="5">
        <v>0.877</v>
      </c>
      <c r="AI29" s="1">
        <v>2</v>
      </c>
      <c r="AJ29" s="3">
        <v>45670</v>
      </c>
      <c r="AK29" s="5">
        <f t="shared" si="10"/>
        <v>7.2770000000000001</v>
      </c>
      <c r="AL29" s="5">
        <v>8.1539999999999999</v>
      </c>
      <c r="AM29" s="1">
        <v>2</v>
      </c>
      <c r="AN29" s="3">
        <f t="shared" si="11"/>
        <v>45684</v>
      </c>
      <c r="AO29" s="1">
        <v>8.11</v>
      </c>
      <c r="AP29" s="8">
        <v>2</v>
      </c>
      <c r="AQ29" s="3">
        <f t="shared" ref="AQ29:AQ36" si="14">X29+1</f>
        <v>45690</v>
      </c>
      <c r="AR29" s="5">
        <f t="shared" ref="AR29:AR36" si="15">AO29-AH29</f>
        <v>7.2329999999999997</v>
      </c>
      <c r="AS29" s="1">
        <v>9</v>
      </c>
      <c r="AT29" s="1">
        <v>23</v>
      </c>
      <c r="AU29" s="1">
        <v>71</v>
      </c>
      <c r="AV29" s="1">
        <f t="shared" si="5"/>
        <v>103</v>
      </c>
      <c r="AW29" s="1">
        <v>64</v>
      </c>
      <c r="AX29" s="1">
        <v>285</v>
      </c>
      <c r="AY29" s="1">
        <v>338</v>
      </c>
      <c r="AZ29" s="1">
        <f t="shared" si="6"/>
        <v>687</v>
      </c>
      <c r="BA29" s="1">
        <v>19</v>
      </c>
      <c r="BB29" s="1">
        <v>0</v>
      </c>
      <c r="BC29" s="1">
        <v>0</v>
      </c>
      <c r="BD29" s="8" t="s">
        <v>12</v>
      </c>
      <c r="BE29" s="8" t="s">
        <v>12</v>
      </c>
      <c r="BF29" s="1" t="s">
        <v>12</v>
      </c>
      <c r="BG29" s="1" t="s">
        <v>12</v>
      </c>
      <c r="BH29" s="1" t="s">
        <v>12</v>
      </c>
      <c r="BI29" s="1">
        <f>BA29+BB29+BC29</f>
        <v>19</v>
      </c>
      <c r="BJ29" s="1">
        <f t="shared" si="7"/>
        <v>809</v>
      </c>
      <c r="BK29" s="3">
        <v>45696</v>
      </c>
      <c r="BL29" s="6"/>
      <c r="BM29" s="6" t="s">
        <v>46</v>
      </c>
      <c r="BN29" s="6" t="s">
        <v>198</v>
      </c>
      <c r="BO29" s="13">
        <v>45.5</v>
      </c>
      <c r="BP29" s="13">
        <v>14.1</v>
      </c>
      <c r="BQ29" s="1">
        <v>0</v>
      </c>
      <c r="BR29" s="1">
        <v>1</v>
      </c>
      <c r="BS29" s="1">
        <f>BQ29+BR29</f>
        <v>1</v>
      </c>
      <c r="BT29" s="1">
        <v>2</v>
      </c>
      <c r="BU29" s="1">
        <v>2</v>
      </c>
      <c r="BV29" s="1">
        <f>BT29+BU29</f>
        <v>4</v>
      </c>
      <c r="BW29" s="1">
        <v>4</v>
      </c>
      <c r="BX29" s="1">
        <v>0</v>
      </c>
      <c r="BY29" s="1">
        <f>BW29+BX29</f>
        <v>4</v>
      </c>
      <c r="BZ29" s="1">
        <v>7</v>
      </c>
      <c r="CA29" s="1">
        <v>0</v>
      </c>
      <c r="CB29" s="1">
        <f>BZ29+CA29</f>
        <v>7</v>
      </c>
      <c r="CC29" s="1">
        <f>BS29+BV29+BY29+CB29</f>
        <v>16</v>
      </c>
      <c r="CD29" s="1">
        <f>CN29-CC29</f>
        <v>7</v>
      </c>
      <c r="CE29" s="7">
        <f>CC29+CD29</f>
        <v>23</v>
      </c>
      <c r="CF29" s="8">
        <v>1</v>
      </c>
      <c r="CG29" s="8">
        <v>0</v>
      </c>
      <c r="CH29" s="8">
        <v>7</v>
      </c>
      <c r="CI29" s="8">
        <v>5</v>
      </c>
      <c r="CJ29" s="8">
        <v>9</v>
      </c>
      <c r="CK29" s="8">
        <v>0</v>
      </c>
      <c r="CL29" s="8">
        <v>1</v>
      </c>
      <c r="CM29" s="8">
        <v>0</v>
      </c>
      <c r="CN29" s="1">
        <f>CF29+CG29+CH29+CI29+CJ29+CK29+CL29+CM29</f>
        <v>23</v>
      </c>
      <c r="CO29" s="1">
        <f>CN29/CE29</f>
        <v>1</v>
      </c>
      <c r="CP29" s="8">
        <v>3.7050000000000001</v>
      </c>
      <c r="CQ29" s="8">
        <v>5</v>
      </c>
      <c r="CR29" s="1">
        <f>CP29/CQ29</f>
        <v>0.74099999999999999</v>
      </c>
      <c r="CS29" s="1">
        <v>2.0369999999999999</v>
      </c>
      <c r="CT29" s="8">
        <v>4</v>
      </c>
      <c r="CU29" s="1">
        <f>CS29/CT29</f>
        <v>0.50924999999999998</v>
      </c>
    </row>
    <row r="30" spans="1:99" x14ac:dyDescent="0.25">
      <c r="A30" s="1">
        <v>30</v>
      </c>
      <c r="B30" s="1">
        <v>28</v>
      </c>
      <c r="C30" s="2" t="s">
        <v>47</v>
      </c>
      <c r="D30" s="3" t="s">
        <v>27</v>
      </c>
      <c r="E30" s="1" t="str">
        <f t="shared" si="12"/>
        <v>f</v>
      </c>
      <c r="F30" s="1" t="str">
        <f t="shared" si="0"/>
        <v>I</v>
      </c>
      <c r="G30" s="1" t="str">
        <f t="shared" si="1"/>
        <v>C</v>
      </c>
      <c r="H30" s="1">
        <v>0</v>
      </c>
      <c r="I30" s="1">
        <v>1</v>
      </c>
      <c r="J30" s="8" t="s">
        <v>278</v>
      </c>
      <c r="K30" s="8">
        <v>2</v>
      </c>
      <c r="L30" s="8">
        <v>1</v>
      </c>
      <c r="M30" s="8">
        <v>0</v>
      </c>
      <c r="N30" s="8">
        <v>7.2</v>
      </c>
      <c r="O30" s="8">
        <v>1</v>
      </c>
      <c r="P30" s="1" t="s">
        <v>8</v>
      </c>
      <c r="Q30" s="3">
        <v>45665</v>
      </c>
      <c r="R30" s="3">
        <v>45666</v>
      </c>
      <c r="S30" s="3">
        <v>45656</v>
      </c>
      <c r="T30" s="3">
        <v>45657</v>
      </c>
      <c r="U30" s="1">
        <f t="shared" si="2"/>
        <v>9</v>
      </c>
      <c r="V30" s="3">
        <v>45686</v>
      </c>
      <c r="W30" s="1">
        <f t="shared" si="8"/>
        <v>20</v>
      </c>
      <c r="X30" s="3">
        <v>45691</v>
      </c>
      <c r="Y30" s="1">
        <f t="shared" si="13"/>
        <v>25</v>
      </c>
      <c r="Z30" s="1">
        <f>_xlfn.DAYS(BK30,X30)</f>
        <v>7</v>
      </c>
      <c r="AB30" s="3">
        <v>45704</v>
      </c>
      <c r="AD30" s="11" t="s">
        <v>86</v>
      </c>
      <c r="AE30" s="11">
        <v>45697</v>
      </c>
      <c r="AF30" s="1">
        <f t="shared" si="3"/>
        <v>31</v>
      </c>
      <c r="AG30" s="8">
        <v>0</v>
      </c>
      <c r="AH30" s="5">
        <v>0.58699999999999997</v>
      </c>
      <c r="AI30" s="1">
        <v>2</v>
      </c>
      <c r="AJ30" s="3">
        <v>45670</v>
      </c>
      <c r="AK30" s="5">
        <f t="shared" si="10"/>
        <v>7.0060000000000002</v>
      </c>
      <c r="AL30" s="5">
        <v>7.593</v>
      </c>
      <c r="AM30" s="1">
        <v>2</v>
      </c>
      <c r="AN30" s="3">
        <f t="shared" si="11"/>
        <v>45687</v>
      </c>
      <c r="AO30" s="1">
        <v>7.0389999999999997</v>
      </c>
      <c r="AP30" s="8">
        <v>2</v>
      </c>
      <c r="AQ30" s="3">
        <f t="shared" si="14"/>
        <v>45692</v>
      </c>
      <c r="AR30" s="5">
        <f t="shared" si="15"/>
        <v>6.452</v>
      </c>
      <c r="AS30" s="1">
        <v>9</v>
      </c>
      <c r="AT30" s="1">
        <v>18</v>
      </c>
      <c r="AU30" s="1">
        <v>45</v>
      </c>
      <c r="AV30" s="1">
        <f t="shared" si="5"/>
        <v>72</v>
      </c>
      <c r="AW30" s="1">
        <v>42</v>
      </c>
      <c r="AX30" s="1">
        <v>77</v>
      </c>
      <c r="AY30" s="1">
        <v>172</v>
      </c>
      <c r="AZ30" s="1">
        <f t="shared" si="6"/>
        <v>291</v>
      </c>
      <c r="BA30" s="1">
        <v>245</v>
      </c>
      <c r="BB30" s="1">
        <v>41</v>
      </c>
      <c r="BC30" s="1">
        <v>0</v>
      </c>
      <c r="BD30" s="1">
        <v>0</v>
      </c>
      <c r="BE30" s="8" t="s">
        <v>12</v>
      </c>
      <c r="BF30" s="1" t="s">
        <v>12</v>
      </c>
      <c r="BG30" s="1" t="s">
        <v>12</v>
      </c>
      <c r="BH30" s="1" t="s">
        <v>12</v>
      </c>
      <c r="BI30" s="1">
        <f>BA30+BB30+BC30+BD30</f>
        <v>286</v>
      </c>
      <c r="BJ30" s="1">
        <f t="shared" si="7"/>
        <v>649</v>
      </c>
      <c r="BK30" s="3">
        <v>45698</v>
      </c>
      <c r="BL30" s="6"/>
      <c r="BM30" s="6" t="s">
        <v>48</v>
      </c>
      <c r="BN30" s="6" t="s">
        <v>219</v>
      </c>
      <c r="BO30" s="13">
        <v>55.52</v>
      </c>
      <c r="BP30" s="13">
        <v>4.08</v>
      </c>
      <c r="BQ30" s="1">
        <v>6</v>
      </c>
      <c r="BR30" s="1">
        <v>0</v>
      </c>
      <c r="BS30" s="1">
        <f>BQ30+BR30</f>
        <v>6</v>
      </c>
      <c r="BT30" s="1">
        <v>6</v>
      </c>
      <c r="BU30" s="1">
        <v>0</v>
      </c>
      <c r="BV30" s="1">
        <f>BT30+BU30</f>
        <v>6</v>
      </c>
      <c r="BW30" s="1">
        <v>8</v>
      </c>
      <c r="BX30" s="1">
        <v>0</v>
      </c>
      <c r="BY30" s="1">
        <f>BW30+BX30</f>
        <v>8</v>
      </c>
      <c r="BZ30" s="1">
        <v>9</v>
      </c>
      <c r="CA30" s="1">
        <v>1</v>
      </c>
      <c r="CB30" s="1">
        <f>BZ30+CA30</f>
        <v>10</v>
      </c>
      <c r="CC30" s="1">
        <f>BS30+BV30+BY30+CB30</f>
        <v>30</v>
      </c>
      <c r="CE30" s="7">
        <f>CC30+CD30</f>
        <v>30</v>
      </c>
      <c r="CF30" s="1">
        <v>1</v>
      </c>
      <c r="CG30" s="1">
        <v>3</v>
      </c>
      <c r="CH30" s="1">
        <v>8</v>
      </c>
      <c r="CI30" s="1">
        <v>9</v>
      </c>
      <c r="CJ30" s="1">
        <v>2</v>
      </c>
      <c r="CK30" s="1">
        <v>0</v>
      </c>
      <c r="CL30" s="1">
        <v>0</v>
      </c>
      <c r="CM30" s="1">
        <v>0</v>
      </c>
      <c r="CN30" s="1">
        <f>CF30+CG30+CH30+CI30+CJ30+CK30+CL30+CM30</f>
        <v>23</v>
      </c>
      <c r="CO30" s="1">
        <f>CN30/CE30</f>
        <v>0.76666666666666672</v>
      </c>
      <c r="CP30" s="8">
        <v>2.661</v>
      </c>
      <c r="CQ30" s="8">
        <v>5</v>
      </c>
      <c r="CR30" s="1">
        <f>CP30/CQ30</f>
        <v>0.53220000000000001</v>
      </c>
      <c r="CS30" s="1">
        <v>4.2679999999999998</v>
      </c>
      <c r="CT30" s="8">
        <v>5</v>
      </c>
      <c r="CU30" s="1">
        <f>CS30/CT30</f>
        <v>0.85359999999999991</v>
      </c>
    </row>
    <row r="31" spans="1:99" x14ac:dyDescent="0.25">
      <c r="A31" s="1">
        <v>31</v>
      </c>
      <c r="B31" s="1">
        <v>29</v>
      </c>
      <c r="C31" s="2" t="s">
        <v>49</v>
      </c>
      <c r="D31" s="3" t="s">
        <v>10</v>
      </c>
      <c r="E31" s="1" t="str">
        <f t="shared" si="12"/>
        <v>m</v>
      </c>
      <c r="F31" s="1" t="str">
        <f t="shared" si="0"/>
        <v>A</v>
      </c>
      <c r="G31" s="1" t="str">
        <f t="shared" si="1"/>
        <v>B</v>
      </c>
      <c r="H31" s="1">
        <v>1</v>
      </c>
      <c r="I31" s="1">
        <v>0</v>
      </c>
      <c r="J31" s="8" t="s">
        <v>278</v>
      </c>
      <c r="K31" s="8">
        <v>2</v>
      </c>
      <c r="L31" s="8">
        <v>1</v>
      </c>
      <c r="M31" s="8">
        <v>1</v>
      </c>
      <c r="N31" s="8">
        <v>7.2</v>
      </c>
      <c r="O31" s="8">
        <v>1</v>
      </c>
      <c r="P31" s="1" t="s">
        <v>8</v>
      </c>
      <c r="Q31" s="3">
        <v>45665</v>
      </c>
      <c r="R31" s="3">
        <v>45666</v>
      </c>
      <c r="S31" s="3">
        <v>45656</v>
      </c>
      <c r="T31" s="3">
        <v>45657</v>
      </c>
      <c r="U31" s="1">
        <f t="shared" si="2"/>
        <v>9</v>
      </c>
      <c r="V31" s="3">
        <v>45686</v>
      </c>
      <c r="W31" s="1">
        <f t="shared" si="8"/>
        <v>20</v>
      </c>
      <c r="X31" s="3">
        <v>45691</v>
      </c>
      <c r="Y31" s="1">
        <f t="shared" si="13"/>
        <v>25</v>
      </c>
      <c r="AB31" s="3">
        <v>45700</v>
      </c>
      <c r="AD31" s="11" t="s">
        <v>86</v>
      </c>
      <c r="AE31" s="11">
        <v>45697</v>
      </c>
      <c r="AF31" s="1">
        <f t="shared" si="3"/>
        <v>31</v>
      </c>
      <c r="AG31" s="8">
        <v>0</v>
      </c>
      <c r="AH31" s="5">
        <v>0.36</v>
      </c>
      <c r="AI31" s="1">
        <v>2</v>
      </c>
      <c r="AJ31" s="3">
        <v>45670</v>
      </c>
      <c r="AK31" s="5">
        <f t="shared" si="10"/>
        <v>7.9370000000000003</v>
      </c>
      <c r="AL31" s="5">
        <v>8.2970000000000006</v>
      </c>
      <c r="AM31" s="8">
        <v>2</v>
      </c>
      <c r="AN31" s="3">
        <f t="shared" si="11"/>
        <v>45687</v>
      </c>
      <c r="AO31" s="1">
        <v>8.2509999999999994</v>
      </c>
      <c r="AP31" s="8">
        <v>2</v>
      </c>
      <c r="AQ31" s="3">
        <f t="shared" si="14"/>
        <v>45692</v>
      </c>
      <c r="AR31" s="5">
        <f t="shared" si="15"/>
        <v>7.8909999999999991</v>
      </c>
      <c r="AS31" s="1">
        <v>5</v>
      </c>
      <c r="AT31" s="1">
        <v>6</v>
      </c>
      <c r="AU31" s="1">
        <v>26</v>
      </c>
      <c r="AV31" s="1">
        <f t="shared" si="5"/>
        <v>37</v>
      </c>
      <c r="AW31" s="1">
        <v>59</v>
      </c>
      <c r="AX31" s="1">
        <v>51</v>
      </c>
      <c r="AY31" s="1">
        <v>185</v>
      </c>
      <c r="AZ31" s="1">
        <f t="shared" si="6"/>
        <v>295</v>
      </c>
      <c r="BA31" s="1">
        <v>250</v>
      </c>
      <c r="BB31" s="1">
        <v>142</v>
      </c>
      <c r="BC31" s="1">
        <v>3</v>
      </c>
      <c r="BD31" s="1">
        <v>0</v>
      </c>
      <c r="BE31" s="8" t="s">
        <v>12</v>
      </c>
      <c r="BF31" s="1" t="s">
        <v>12</v>
      </c>
      <c r="BG31" s="1" t="s">
        <v>12</v>
      </c>
      <c r="BH31" s="1" t="s">
        <v>12</v>
      </c>
      <c r="BI31" s="1">
        <f>BA31+BB31+BC31+BD31</f>
        <v>395</v>
      </c>
      <c r="BJ31" s="1">
        <f t="shared" si="7"/>
        <v>727</v>
      </c>
      <c r="BK31" s="3" t="s">
        <v>12</v>
      </c>
      <c r="BL31" s="10" t="s">
        <v>12</v>
      </c>
      <c r="BM31" s="10" t="s">
        <v>12</v>
      </c>
      <c r="BN31" s="14" t="s">
        <v>12</v>
      </c>
      <c r="BO31" s="13" t="s">
        <v>12</v>
      </c>
      <c r="BP31" s="13" t="s">
        <v>12</v>
      </c>
      <c r="BQ31" s="13" t="s">
        <v>12</v>
      </c>
      <c r="BR31" s="13" t="s">
        <v>12</v>
      </c>
      <c r="BS31" s="13" t="s">
        <v>12</v>
      </c>
      <c r="BT31" s="13" t="s">
        <v>12</v>
      </c>
      <c r="BU31" s="13" t="s">
        <v>12</v>
      </c>
      <c r="BV31" s="13" t="s">
        <v>12</v>
      </c>
      <c r="BW31" s="13" t="s">
        <v>12</v>
      </c>
      <c r="BX31" s="13" t="s">
        <v>12</v>
      </c>
      <c r="BY31" s="13" t="s">
        <v>12</v>
      </c>
      <c r="BZ31" s="13" t="s">
        <v>12</v>
      </c>
      <c r="CA31" s="13" t="s">
        <v>12</v>
      </c>
      <c r="CB31" s="13" t="s">
        <v>12</v>
      </c>
      <c r="CC31" s="13" t="s">
        <v>12</v>
      </c>
      <c r="CD31" s="13"/>
      <c r="CE31" s="13" t="s">
        <v>12</v>
      </c>
      <c r="CF31" s="13" t="s">
        <v>12</v>
      </c>
      <c r="CG31" s="13" t="s">
        <v>12</v>
      </c>
      <c r="CH31" s="13" t="s">
        <v>12</v>
      </c>
      <c r="CI31" s="13" t="s">
        <v>12</v>
      </c>
      <c r="CJ31" s="13" t="s">
        <v>12</v>
      </c>
      <c r="CK31" s="13" t="s">
        <v>12</v>
      </c>
      <c r="CL31" s="13" t="s">
        <v>12</v>
      </c>
      <c r="CM31" s="13" t="s">
        <v>12</v>
      </c>
      <c r="CN31" s="13" t="s">
        <v>12</v>
      </c>
      <c r="CO31" s="13" t="s">
        <v>12</v>
      </c>
    </row>
    <row r="32" spans="1:99" x14ac:dyDescent="0.25">
      <c r="A32" s="1">
        <v>32</v>
      </c>
      <c r="B32" s="1">
        <v>30</v>
      </c>
      <c r="C32" s="2" t="s">
        <v>50</v>
      </c>
      <c r="D32" s="3" t="s">
        <v>27</v>
      </c>
      <c r="E32" s="1" t="str">
        <f t="shared" si="12"/>
        <v>f</v>
      </c>
      <c r="F32" s="1" t="str">
        <f t="shared" si="0"/>
        <v>M</v>
      </c>
      <c r="G32" s="1" t="str">
        <f t="shared" si="1"/>
        <v>D</v>
      </c>
      <c r="H32" s="1">
        <v>1</v>
      </c>
      <c r="I32" s="1">
        <v>1</v>
      </c>
      <c r="J32" s="8" t="s">
        <v>276</v>
      </c>
      <c r="K32" s="8">
        <v>2</v>
      </c>
      <c r="L32" s="8">
        <v>1</v>
      </c>
      <c r="M32" s="8">
        <v>2</v>
      </c>
      <c r="N32" s="8">
        <v>7.2</v>
      </c>
      <c r="O32" s="8">
        <v>1</v>
      </c>
      <c r="P32" s="1" t="s">
        <v>8</v>
      </c>
      <c r="Q32" s="3">
        <v>45665</v>
      </c>
      <c r="R32" s="3">
        <v>45666</v>
      </c>
      <c r="S32" s="3">
        <v>45656</v>
      </c>
      <c r="T32" s="3">
        <v>45657</v>
      </c>
      <c r="U32" s="1">
        <f t="shared" si="2"/>
        <v>9</v>
      </c>
      <c r="V32" s="3">
        <v>45682</v>
      </c>
      <c r="W32" s="1">
        <f t="shared" si="8"/>
        <v>16</v>
      </c>
      <c r="X32" s="3">
        <v>45688</v>
      </c>
      <c r="Y32" s="1">
        <f t="shared" si="13"/>
        <v>22</v>
      </c>
      <c r="Z32" s="1">
        <f>_xlfn.DAYS(BK32,X32)</f>
        <v>8</v>
      </c>
      <c r="AB32" s="3">
        <v>45702</v>
      </c>
      <c r="AD32" s="11" t="s">
        <v>86</v>
      </c>
      <c r="AE32" s="11">
        <v>45697</v>
      </c>
      <c r="AF32" s="1">
        <f t="shared" si="3"/>
        <v>31</v>
      </c>
      <c r="AG32" s="8">
        <v>0</v>
      </c>
      <c r="AH32" s="5">
        <v>0.98399999999999999</v>
      </c>
      <c r="AI32" s="1">
        <v>2</v>
      </c>
      <c r="AJ32" s="3">
        <v>45670</v>
      </c>
      <c r="AK32" s="5">
        <f t="shared" si="10"/>
        <v>7.34</v>
      </c>
      <c r="AL32" s="5">
        <v>8.3239999999999998</v>
      </c>
      <c r="AM32" s="1">
        <v>2</v>
      </c>
      <c r="AN32" s="3">
        <f t="shared" si="11"/>
        <v>45683</v>
      </c>
      <c r="AO32" s="8">
        <v>9.2910000000000004</v>
      </c>
      <c r="AP32" s="8">
        <v>2</v>
      </c>
      <c r="AQ32" s="3">
        <f t="shared" si="14"/>
        <v>45689</v>
      </c>
      <c r="AR32" s="5">
        <f t="shared" si="15"/>
        <v>8.3070000000000004</v>
      </c>
      <c r="AS32" s="1">
        <v>6</v>
      </c>
      <c r="AT32" s="1">
        <v>20</v>
      </c>
      <c r="AU32" s="1">
        <v>72</v>
      </c>
      <c r="AV32" s="1">
        <f t="shared" si="5"/>
        <v>98</v>
      </c>
      <c r="AW32" s="1">
        <v>106</v>
      </c>
      <c r="AX32" s="1">
        <v>404</v>
      </c>
      <c r="AY32" s="1">
        <v>129</v>
      </c>
      <c r="AZ32" s="1">
        <f t="shared" si="6"/>
        <v>639</v>
      </c>
      <c r="BA32" s="1">
        <v>4</v>
      </c>
      <c r="BB32" s="1">
        <v>0</v>
      </c>
      <c r="BC32" s="1" t="s">
        <v>12</v>
      </c>
      <c r="BD32" s="1" t="s">
        <v>12</v>
      </c>
      <c r="BE32" s="1" t="s">
        <v>12</v>
      </c>
      <c r="BF32" s="1" t="s">
        <v>12</v>
      </c>
      <c r="BG32" s="1" t="s">
        <v>12</v>
      </c>
      <c r="BH32" s="1" t="s">
        <v>12</v>
      </c>
      <c r="BI32" s="1">
        <f>BA32+BB32</f>
        <v>4</v>
      </c>
      <c r="BJ32" s="1">
        <f t="shared" si="7"/>
        <v>741</v>
      </c>
      <c r="BK32" s="3">
        <v>45696</v>
      </c>
      <c r="BL32" s="6"/>
      <c r="BM32" s="6" t="s">
        <v>51</v>
      </c>
      <c r="BN32" s="6" t="s">
        <v>199</v>
      </c>
      <c r="BO32" s="13">
        <v>48.03</v>
      </c>
      <c r="BP32" s="13">
        <v>11.57</v>
      </c>
      <c r="BQ32" s="1">
        <v>11</v>
      </c>
      <c r="BR32" s="1">
        <v>0</v>
      </c>
      <c r="BS32" s="1">
        <f>BQ32+BR32</f>
        <v>11</v>
      </c>
      <c r="BT32" s="1">
        <v>15</v>
      </c>
      <c r="BU32" s="1">
        <v>0</v>
      </c>
      <c r="BV32" s="1">
        <f>BT32+BU32</f>
        <v>15</v>
      </c>
      <c r="BW32" s="1">
        <v>9</v>
      </c>
      <c r="BX32" s="1">
        <v>0</v>
      </c>
      <c r="BY32" s="1">
        <f>BW32+BX32</f>
        <v>9</v>
      </c>
      <c r="BZ32" s="1">
        <v>12</v>
      </c>
      <c r="CA32" s="1">
        <v>0</v>
      </c>
      <c r="CB32" s="1">
        <f>BZ32+CA32</f>
        <v>12</v>
      </c>
      <c r="CC32" s="1">
        <f>BS32+BV32+BY32+CB32</f>
        <v>47</v>
      </c>
      <c r="CD32" s="1">
        <f>CN32-CC32</f>
        <v>1</v>
      </c>
      <c r="CE32" s="7">
        <f>CC32+CD32</f>
        <v>48</v>
      </c>
      <c r="CF32" s="8">
        <v>9</v>
      </c>
      <c r="CG32" s="8">
        <v>11</v>
      </c>
      <c r="CH32" s="8">
        <v>13</v>
      </c>
      <c r="CI32" s="8">
        <v>13</v>
      </c>
      <c r="CJ32" s="8">
        <v>1</v>
      </c>
      <c r="CK32" s="8">
        <v>1</v>
      </c>
      <c r="CL32" s="8">
        <v>0</v>
      </c>
      <c r="CM32" s="8">
        <v>0</v>
      </c>
      <c r="CN32" s="1">
        <f>CF32+CG32+CH32+CI32+CJ32+CK32+CL32+CM32</f>
        <v>48</v>
      </c>
      <c r="CO32" s="1">
        <f>CN32/CE32</f>
        <v>1</v>
      </c>
      <c r="CP32" s="8">
        <v>6.2480000000000002</v>
      </c>
      <c r="CQ32" s="8">
        <v>5</v>
      </c>
      <c r="CR32" s="1">
        <f>CP32/CQ32</f>
        <v>1.2496</v>
      </c>
      <c r="CS32" s="1">
        <v>3.8410000000000002</v>
      </c>
      <c r="CT32" s="8">
        <v>4</v>
      </c>
      <c r="CU32" s="1">
        <f>CS32/CT32</f>
        <v>0.96025000000000005</v>
      </c>
    </row>
    <row r="33" spans="1:99" x14ac:dyDescent="0.25">
      <c r="A33" s="1">
        <v>33</v>
      </c>
      <c r="B33" s="1">
        <v>31</v>
      </c>
      <c r="C33" s="2" t="s">
        <v>11</v>
      </c>
      <c r="D33" s="3" t="s">
        <v>27</v>
      </c>
      <c r="E33" s="1" t="str">
        <f t="shared" si="12"/>
        <v>f</v>
      </c>
      <c r="F33" s="1" t="str">
        <f t="shared" si="0"/>
        <v>C</v>
      </c>
      <c r="G33" s="1" t="str">
        <f t="shared" si="1"/>
        <v>A</v>
      </c>
      <c r="H33" s="1">
        <v>0</v>
      </c>
      <c r="I33" s="1">
        <v>0</v>
      </c>
      <c r="J33" s="8" t="s">
        <v>278</v>
      </c>
      <c r="K33" s="8">
        <v>2</v>
      </c>
      <c r="L33" s="8">
        <v>1</v>
      </c>
      <c r="M33" s="8">
        <v>3</v>
      </c>
      <c r="N33" s="8">
        <v>7.2</v>
      </c>
      <c r="O33" s="8">
        <v>1</v>
      </c>
      <c r="P33" s="1" t="s">
        <v>8</v>
      </c>
      <c r="Q33" s="3">
        <v>45665</v>
      </c>
      <c r="R33" s="3">
        <v>45666</v>
      </c>
      <c r="S33" s="3">
        <v>45656</v>
      </c>
      <c r="T33" s="3">
        <v>45657</v>
      </c>
      <c r="U33" s="1">
        <f t="shared" si="2"/>
        <v>9</v>
      </c>
      <c r="V33" s="3">
        <v>45683</v>
      </c>
      <c r="W33" s="1">
        <f t="shared" si="8"/>
        <v>17</v>
      </c>
      <c r="X33" s="3">
        <v>45688</v>
      </c>
      <c r="Y33" s="1">
        <f t="shared" si="13"/>
        <v>22</v>
      </c>
      <c r="Z33" s="1">
        <f>_xlfn.DAYS(BK33,X33)</f>
        <v>7</v>
      </c>
      <c r="AB33" s="3">
        <v>45701</v>
      </c>
      <c r="AD33" s="11" t="s">
        <v>86</v>
      </c>
      <c r="AE33" s="11">
        <v>45697</v>
      </c>
      <c r="AF33" s="1">
        <f t="shared" si="3"/>
        <v>31</v>
      </c>
      <c r="AG33" s="8">
        <v>0</v>
      </c>
      <c r="AH33" s="5">
        <v>0.65700000000000003</v>
      </c>
      <c r="AI33" s="1">
        <v>2</v>
      </c>
      <c r="AJ33" s="3">
        <v>45670</v>
      </c>
      <c r="AK33" s="5">
        <f t="shared" si="10"/>
        <v>6.9950000000000001</v>
      </c>
      <c r="AL33" s="5">
        <v>7.6520000000000001</v>
      </c>
      <c r="AM33" s="1">
        <v>2</v>
      </c>
      <c r="AN33" s="3">
        <f t="shared" si="11"/>
        <v>45684</v>
      </c>
      <c r="AO33" s="8">
        <v>7.952</v>
      </c>
      <c r="AP33" s="8">
        <v>2</v>
      </c>
      <c r="AQ33" s="3">
        <f t="shared" si="14"/>
        <v>45689</v>
      </c>
      <c r="AR33" s="5">
        <f t="shared" si="15"/>
        <v>7.2949999999999999</v>
      </c>
      <c r="AS33" s="1">
        <v>8</v>
      </c>
      <c r="AT33" s="1">
        <v>17</v>
      </c>
      <c r="AU33" s="1">
        <v>59</v>
      </c>
      <c r="AV33" s="1">
        <f t="shared" si="5"/>
        <v>84</v>
      </c>
      <c r="AW33" s="1">
        <v>38</v>
      </c>
      <c r="AX33" s="1">
        <v>197</v>
      </c>
      <c r="AY33" s="1">
        <v>280</v>
      </c>
      <c r="AZ33" s="1">
        <f t="shared" si="6"/>
        <v>515</v>
      </c>
      <c r="BA33" s="1">
        <v>16</v>
      </c>
      <c r="BB33" s="1">
        <v>0</v>
      </c>
      <c r="BC33" s="1">
        <v>0</v>
      </c>
      <c r="BD33" s="8" t="s">
        <v>12</v>
      </c>
      <c r="BE33" s="8" t="s">
        <v>12</v>
      </c>
      <c r="BF33" s="1" t="s">
        <v>12</v>
      </c>
      <c r="BG33" s="1" t="s">
        <v>12</v>
      </c>
      <c r="BH33" s="1" t="s">
        <v>12</v>
      </c>
      <c r="BI33" s="1">
        <f>BA33+BB33+BC33</f>
        <v>16</v>
      </c>
      <c r="BJ33" s="1">
        <f t="shared" si="7"/>
        <v>615</v>
      </c>
      <c r="BK33" s="3">
        <v>45695</v>
      </c>
      <c r="BL33" s="6"/>
      <c r="BM33" s="6" t="s">
        <v>9</v>
      </c>
      <c r="BN33" s="6" t="s">
        <v>190</v>
      </c>
      <c r="BO33" s="13">
        <v>47.1</v>
      </c>
      <c r="BP33" s="13">
        <v>12.5</v>
      </c>
      <c r="BQ33" s="1">
        <v>0</v>
      </c>
      <c r="BR33" s="1">
        <v>0</v>
      </c>
      <c r="BS33" s="1">
        <f>BQ33+BR33</f>
        <v>0</v>
      </c>
      <c r="BT33" s="1">
        <v>3</v>
      </c>
      <c r="BU33" s="1">
        <v>0</v>
      </c>
      <c r="BV33" s="1">
        <f>BT33+BU33</f>
        <v>3</v>
      </c>
      <c r="BW33" s="1">
        <v>12</v>
      </c>
      <c r="BX33" s="1">
        <v>0</v>
      </c>
      <c r="BY33" s="1">
        <f>BW33+BX33</f>
        <v>12</v>
      </c>
      <c r="BZ33" s="1">
        <v>12</v>
      </c>
      <c r="CA33" s="1">
        <v>0</v>
      </c>
      <c r="CB33" s="1">
        <f>BZ33+CA33</f>
        <v>12</v>
      </c>
      <c r="CC33" s="1">
        <f>BS33+BV33+BY33+CB33</f>
        <v>27</v>
      </c>
      <c r="CD33" s="1">
        <f>CN33-CC33</f>
        <v>4</v>
      </c>
      <c r="CE33" s="7">
        <f>CC33+CD33</f>
        <v>31</v>
      </c>
      <c r="CF33" s="8">
        <v>0</v>
      </c>
      <c r="CG33" s="8">
        <v>5</v>
      </c>
      <c r="CH33" s="8">
        <v>9</v>
      </c>
      <c r="CI33" s="8">
        <v>16</v>
      </c>
      <c r="CJ33" s="8">
        <v>0</v>
      </c>
      <c r="CK33" s="8">
        <v>0</v>
      </c>
      <c r="CL33" s="8">
        <v>1</v>
      </c>
      <c r="CM33" s="8">
        <v>0</v>
      </c>
      <c r="CN33" s="1">
        <f>CF33+CG33+CH33+CI33+CJ33+CK33+CL33+CM33</f>
        <v>31</v>
      </c>
      <c r="CO33" s="1">
        <f>CN33/CE33</f>
        <v>1</v>
      </c>
      <c r="CP33" s="8">
        <v>5.7549999999999999</v>
      </c>
      <c r="CQ33" s="8">
        <v>5</v>
      </c>
      <c r="CR33" s="1">
        <f>CP33/CQ33</f>
        <v>1.151</v>
      </c>
      <c r="CS33" s="1">
        <v>3.12</v>
      </c>
      <c r="CT33" s="8">
        <v>4</v>
      </c>
      <c r="CU33" s="1">
        <f>CS33/CT33</f>
        <v>0.78</v>
      </c>
    </row>
    <row r="34" spans="1:99" x14ac:dyDescent="0.25">
      <c r="A34" s="1">
        <v>34</v>
      </c>
      <c r="B34" s="1">
        <v>32</v>
      </c>
      <c r="C34" s="2" t="s">
        <v>52</v>
      </c>
      <c r="D34" s="3" t="s">
        <v>10</v>
      </c>
      <c r="E34" s="1" t="str">
        <f t="shared" si="12"/>
        <v>m</v>
      </c>
      <c r="F34" s="1" t="str">
        <f t="shared" ref="F34:F65" si="16">MID(C34,1,1)</f>
        <v>A</v>
      </c>
      <c r="G34" s="1" t="str">
        <f t="shared" ref="G34:G65" si="17">IF(F34="C","A",IF(F34="A","B",IF(F34="I","C",IF(F34="M","D"))))</f>
        <v>B</v>
      </c>
      <c r="H34" s="1">
        <v>1</v>
      </c>
      <c r="I34" s="1">
        <v>0</v>
      </c>
      <c r="J34" s="8" t="s">
        <v>278</v>
      </c>
      <c r="K34" s="8">
        <v>2</v>
      </c>
      <c r="L34" s="8">
        <v>1</v>
      </c>
      <c r="M34" s="1">
        <v>3</v>
      </c>
      <c r="N34" s="8">
        <v>8.1999999999999993</v>
      </c>
      <c r="O34" s="8">
        <v>1</v>
      </c>
      <c r="P34" s="1" t="s">
        <v>8</v>
      </c>
      <c r="Q34" s="3">
        <v>45665</v>
      </c>
      <c r="R34" s="3">
        <v>45666</v>
      </c>
      <c r="S34" s="3">
        <v>45656</v>
      </c>
      <c r="T34" s="3">
        <v>45657</v>
      </c>
      <c r="U34" s="1">
        <f t="shared" ref="U34:U65" si="18">_xlfn.DAYS(R34,T34)</f>
        <v>9</v>
      </c>
      <c r="V34" s="3">
        <v>45683</v>
      </c>
      <c r="W34" s="1">
        <f t="shared" si="8"/>
        <v>17</v>
      </c>
      <c r="X34" s="3">
        <v>45688</v>
      </c>
      <c r="Y34" s="1">
        <f t="shared" si="13"/>
        <v>22</v>
      </c>
      <c r="AB34" s="3">
        <v>45697</v>
      </c>
      <c r="AD34" s="11" t="s">
        <v>86</v>
      </c>
      <c r="AE34" s="11">
        <v>45697</v>
      </c>
      <c r="AF34" s="1">
        <f t="shared" ref="AF34:AF65" si="19">_xlfn.DAYS(AE34,R34)</f>
        <v>31</v>
      </c>
      <c r="AG34" s="8">
        <v>0</v>
      </c>
      <c r="AH34" s="5">
        <v>0.82599999999999996</v>
      </c>
      <c r="AI34" s="1">
        <v>2</v>
      </c>
      <c r="AJ34" s="3">
        <v>45670</v>
      </c>
      <c r="AK34" s="5">
        <f t="shared" si="10"/>
        <v>6.2330000000000005</v>
      </c>
      <c r="AL34" s="5">
        <v>7.0590000000000002</v>
      </c>
      <c r="AM34" s="1">
        <v>2</v>
      </c>
      <c r="AN34" s="3">
        <f t="shared" si="11"/>
        <v>45684</v>
      </c>
      <c r="AO34" s="8">
        <v>6.3789999999999996</v>
      </c>
      <c r="AP34" s="8">
        <v>2</v>
      </c>
      <c r="AQ34" s="3">
        <f t="shared" si="14"/>
        <v>45689</v>
      </c>
      <c r="AR34" s="5">
        <f t="shared" si="15"/>
        <v>5.5529999999999999</v>
      </c>
      <c r="AS34" s="1">
        <v>8</v>
      </c>
      <c r="AT34" s="1">
        <v>21</v>
      </c>
      <c r="AU34" s="1">
        <v>48</v>
      </c>
      <c r="AV34" s="1">
        <f t="shared" si="5"/>
        <v>77</v>
      </c>
      <c r="AW34" s="1">
        <v>45</v>
      </c>
      <c r="AX34" s="1">
        <v>142</v>
      </c>
      <c r="AY34" s="1">
        <v>336</v>
      </c>
      <c r="AZ34" s="1">
        <f t="shared" si="6"/>
        <v>523</v>
      </c>
      <c r="BA34" s="1">
        <v>0</v>
      </c>
      <c r="BB34" s="1">
        <v>0</v>
      </c>
      <c r="BC34" s="1">
        <v>0</v>
      </c>
      <c r="BD34" s="8" t="s">
        <v>12</v>
      </c>
      <c r="BE34" s="8" t="s">
        <v>12</v>
      </c>
      <c r="BF34" s="1" t="s">
        <v>12</v>
      </c>
      <c r="BG34" s="1" t="s">
        <v>12</v>
      </c>
      <c r="BH34" s="1" t="s">
        <v>12</v>
      </c>
      <c r="BI34" s="1">
        <f>BA34+BB34+BC34</f>
        <v>0</v>
      </c>
      <c r="BJ34" s="1">
        <f t="shared" si="7"/>
        <v>600</v>
      </c>
      <c r="BK34" s="3" t="s">
        <v>12</v>
      </c>
      <c r="BL34" s="10" t="s">
        <v>12</v>
      </c>
      <c r="BM34" s="10" t="s">
        <v>12</v>
      </c>
      <c r="BN34" s="14" t="s">
        <v>12</v>
      </c>
      <c r="BO34" s="13" t="s">
        <v>12</v>
      </c>
      <c r="BP34" s="13" t="s">
        <v>12</v>
      </c>
      <c r="BQ34" s="13" t="s">
        <v>12</v>
      </c>
      <c r="BR34" s="13" t="s">
        <v>12</v>
      </c>
      <c r="BS34" s="13" t="s">
        <v>12</v>
      </c>
      <c r="BT34" s="13" t="s">
        <v>12</v>
      </c>
      <c r="BU34" s="13" t="s">
        <v>12</v>
      </c>
      <c r="BV34" s="13" t="s">
        <v>12</v>
      </c>
      <c r="BW34" s="13" t="s">
        <v>12</v>
      </c>
      <c r="BX34" s="13" t="s">
        <v>12</v>
      </c>
      <c r="BY34" s="13" t="s">
        <v>12</v>
      </c>
      <c r="BZ34" s="13" t="s">
        <v>12</v>
      </c>
      <c r="CA34" s="13" t="s">
        <v>12</v>
      </c>
      <c r="CB34" s="13" t="s">
        <v>12</v>
      </c>
      <c r="CC34" s="13" t="s">
        <v>12</v>
      </c>
      <c r="CD34" s="13"/>
      <c r="CE34" s="13" t="s">
        <v>12</v>
      </c>
      <c r="CF34" s="13" t="s">
        <v>12</v>
      </c>
      <c r="CG34" s="13" t="s">
        <v>12</v>
      </c>
      <c r="CH34" s="13" t="s">
        <v>12</v>
      </c>
      <c r="CI34" s="13" t="s">
        <v>12</v>
      </c>
      <c r="CJ34" s="13" t="s">
        <v>12</v>
      </c>
      <c r="CK34" s="13" t="s">
        <v>12</v>
      </c>
      <c r="CL34" s="13" t="s">
        <v>12</v>
      </c>
      <c r="CM34" s="13" t="s">
        <v>12</v>
      </c>
      <c r="CN34" s="13" t="s">
        <v>12</v>
      </c>
      <c r="CO34" s="13" t="s">
        <v>12</v>
      </c>
    </row>
    <row r="35" spans="1:99" x14ac:dyDescent="0.25">
      <c r="A35" s="1">
        <v>35</v>
      </c>
      <c r="B35" s="1">
        <v>33</v>
      </c>
      <c r="C35" s="2" t="s">
        <v>53</v>
      </c>
      <c r="D35" s="3" t="s">
        <v>27</v>
      </c>
      <c r="E35" s="1" t="str">
        <f t="shared" si="12"/>
        <v>f</v>
      </c>
      <c r="F35" s="1" t="str">
        <f t="shared" si="16"/>
        <v>C</v>
      </c>
      <c r="G35" s="1" t="str">
        <f t="shared" si="17"/>
        <v>A</v>
      </c>
      <c r="H35" s="1">
        <v>0</v>
      </c>
      <c r="I35" s="1">
        <v>0</v>
      </c>
      <c r="J35" s="8" t="s">
        <v>278</v>
      </c>
      <c r="K35" s="8">
        <v>2</v>
      </c>
      <c r="L35" s="8">
        <v>1</v>
      </c>
      <c r="M35" s="1">
        <v>2</v>
      </c>
      <c r="N35" s="8">
        <v>8.1999999999999993</v>
      </c>
      <c r="O35" s="8">
        <v>1</v>
      </c>
      <c r="P35" s="1" t="s">
        <v>8</v>
      </c>
      <c r="Q35" s="3">
        <v>45665</v>
      </c>
      <c r="R35" s="3">
        <v>45666</v>
      </c>
      <c r="S35" s="3">
        <v>45656</v>
      </c>
      <c r="T35" s="3">
        <v>45657</v>
      </c>
      <c r="U35" s="1">
        <f t="shared" si="18"/>
        <v>9</v>
      </c>
      <c r="V35" s="3">
        <v>45684</v>
      </c>
      <c r="W35" s="1">
        <f t="shared" si="8"/>
        <v>18</v>
      </c>
      <c r="X35" s="3">
        <v>45689</v>
      </c>
      <c r="Y35" s="1">
        <f t="shared" si="13"/>
        <v>23</v>
      </c>
      <c r="Z35" s="1">
        <f>_xlfn.DAYS(BK35,X35)</f>
        <v>7</v>
      </c>
      <c r="AB35" s="3">
        <v>45702</v>
      </c>
      <c r="AD35" s="11" t="s">
        <v>86</v>
      </c>
      <c r="AE35" s="11">
        <v>45697</v>
      </c>
      <c r="AF35" s="1">
        <f t="shared" si="19"/>
        <v>31</v>
      </c>
      <c r="AG35" s="8">
        <v>0</v>
      </c>
      <c r="AH35" s="5">
        <v>0.82199999999999995</v>
      </c>
      <c r="AI35" s="1">
        <v>2</v>
      </c>
      <c r="AJ35" s="3">
        <v>45670</v>
      </c>
      <c r="AK35" s="5">
        <f t="shared" si="10"/>
        <v>7.7600000000000007</v>
      </c>
      <c r="AL35" s="5">
        <v>8.5820000000000007</v>
      </c>
      <c r="AM35" s="8">
        <v>1</v>
      </c>
      <c r="AN35" s="3">
        <f t="shared" si="11"/>
        <v>45685</v>
      </c>
      <c r="AO35" s="8">
        <v>7.7530000000000001</v>
      </c>
      <c r="AP35" s="8">
        <v>2</v>
      </c>
      <c r="AQ35" s="3">
        <f t="shared" si="14"/>
        <v>45690</v>
      </c>
      <c r="AR35" s="5">
        <f t="shared" si="15"/>
        <v>6.931</v>
      </c>
      <c r="AS35" s="1">
        <v>7</v>
      </c>
      <c r="AT35" s="1">
        <v>22</v>
      </c>
      <c r="AU35" s="1">
        <v>63</v>
      </c>
      <c r="AV35" s="1">
        <f t="shared" si="5"/>
        <v>92</v>
      </c>
      <c r="AW35" s="1">
        <v>111</v>
      </c>
      <c r="AX35" s="1">
        <v>360</v>
      </c>
      <c r="AY35" s="1">
        <v>307</v>
      </c>
      <c r="AZ35" s="1">
        <f t="shared" si="6"/>
        <v>778</v>
      </c>
      <c r="BA35" s="1">
        <v>5</v>
      </c>
      <c r="BB35" s="1">
        <v>0</v>
      </c>
      <c r="BC35" s="1">
        <v>0</v>
      </c>
      <c r="BD35" s="1" t="s">
        <v>12</v>
      </c>
      <c r="BE35" s="1" t="s">
        <v>12</v>
      </c>
      <c r="BF35" s="1" t="s">
        <v>12</v>
      </c>
      <c r="BG35" s="1" t="s">
        <v>12</v>
      </c>
      <c r="BH35" s="1" t="s">
        <v>12</v>
      </c>
      <c r="BI35" s="1">
        <f>BA35+BB35+BC35</f>
        <v>5</v>
      </c>
      <c r="BJ35" s="1">
        <f t="shared" si="7"/>
        <v>875</v>
      </c>
      <c r="BK35" s="3">
        <v>45696</v>
      </c>
      <c r="BL35" s="6"/>
      <c r="BM35" s="6" t="s">
        <v>54</v>
      </c>
      <c r="BN35" s="6" t="s">
        <v>200</v>
      </c>
      <c r="BO35" s="13">
        <v>56.03</v>
      </c>
      <c r="BP35" s="13">
        <v>3.57</v>
      </c>
      <c r="BQ35" s="1">
        <v>9</v>
      </c>
      <c r="BR35" s="1">
        <v>1</v>
      </c>
      <c r="BS35" s="1">
        <f>BQ35+BR35</f>
        <v>10</v>
      </c>
      <c r="BT35" s="1">
        <v>13</v>
      </c>
      <c r="BU35" s="1">
        <v>1</v>
      </c>
      <c r="BV35" s="1">
        <f>BT35+BU35</f>
        <v>14</v>
      </c>
      <c r="BW35" s="1">
        <v>6</v>
      </c>
      <c r="BX35" s="1">
        <v>0</v>
      </c>
      <c r="BY35" s="1">
        <f>BW35+BX35</f>
        <v>6</v>
      </c>
      <c r="BZ35" s="1">
        <v>9</v>
      </c>
      <c r="CA35" s="1">
        <v>0</v>
      </c>
      <c r="CB35" s="1">
        <f>BZ35+CA35</f>
        <v>9</v>
      </c>
      <c r="CC35" s="1">
        <f>BS35+BV35+BY35+CB35</f>
        <v>39</v>
      </c>
      <c r="CE35" s="7">
        <f>CC35+CD35</f>
        <v>39</v>
      </c>
      <c r="CF35" s="8">
        <v>6</v>
      </c>
      <c r="CG35" s="8">
        <v>7</v>
      </c>
      <c r="CH35" s="8">
        <v>10</v>
      </c>
      <c r="CI35" s="8">
        <v>10</v>
      </c>
      <c r="CJ35" s="8">
        <v>1</v>
      </c>
      <c r="CK35" s="8">
        <v>0</v>
      </c>
      <c r="CL35" s="8">
        <v>0</v>
      </c>
      <c r="CM35" s="8">
        <v>0</v>
      </c>
      <c r="CN35" s="1">
        <f>CF35+CG35+CH35+CI35+CJ35+CK35+CL35+CM35</f>
        <v>34</v>
      </c>
      <c r="CO35" s="1">
        <f>CN35/CE35</f>
        <v>0.87179487179487181</v>
      </c>
      <c r="CP35" s="8">
        <v>3.94</v>
      </c>
      <c r="CQ35" s="8">
        <v>5</v>
      </c>
      <c r="CR35" s="1">
        <f>CP35/CQ35</f>
        <v>0.78800000000000003</v>
      </c>
      <c r="CS35" s="1">
        <v>3.6669999999999998</v>
      </c>
      <c r="CT35" s="8">
        <v>5</v>
      </c>
      <c r="CU35" s="1">
        <f>CS35/CT35</f>
        <v>0.73339999999999994</v>
      </c>
    </row>
    <row r="36" spans="1:99" x14ac:dyDescent="0.25">
      <c r="A36" s="1">
        <v>36</v>
      </c>
      <c r="B36" s="1">
        <v>34</v>
      </c>
      <c r="C36" s="2" t="s">
        <v>55</v>
      </c>
      <c r="D36" s="3" t="s">
        <v>27</v>
      </c>
      <c r="E36" s="1" t="str">
        <f t="shared" si="12"/>
        <v>f</v>
      </c>
      <c r="F36" s="1" t="str">
        <f t="shared" si="16"/>
        <v>M</v>
      </c>
      <c r="G36" s="1" t="str">
        <f t="shared" si="17"/>
        <v>D</v>
      </c>
      <c r="H36" s="1">
        <v>1</v>
      </c>
      <c r="I36" s="1">
        <v>1</v>
      </c>
      <c r="J36" s="8" t="s">
        <v>276</v>
      </c>
      <c r="K36" s="8">
        <v>2</v>
      </c>
      <c r="L36" s="8">
        <v>1</v>
      </c>
      <c r="M36" s="1">
        <v>1</v>
      </c>
      <c r="N36" s="8">
        <v>8.1999999999999993</v>
      </c>
      <c r="O36" s="8">
        <v>1</v>
      </c>
      <c r="P36" s="1" t="s">
        <v>8</v>
      </c>
      <c r="Q36" s="3">
        <v>45665</v>
      </c>
      <c r="R36" s="3">
        <v>45666</v>
      </c>
      <c r="S36" s="3">
        <v>45656</v>
      </c>
      <c r="T36" s="3">
        <v>45657</v>
      </c>
      <c r="U36" s="1">
        <f t="shared" si="18"/>
        <v>9</v>
      </c>
      <c r="V36" s="3">
        <v>45683</v>
      </c>
      <c r="W36" s="1">
        <f t="shared" si="8"/>
        <v>17</v>
      </c>
      <c r="X36" s="3">
        <v>45688</v>
      </c>
      <c r="Y36" s="1">
        <f t="shared" si="13"/>
        <v>22</v>
      </c>
      <c r="Z36" s="1">
        <f>_xlfn.DAYS(BK36,X36)</f>
        <v>8</v>
      </c>
      <c r="AB36" s="3">
        <v>45702</v>
      </c>
      <c r="AD36" s="11" t="s">
        <v>86</v>
      </c>
      <c r="AE36" s="11">
        <v>45697</v>
      </c>
      <c r="AF36" s="1">
        <f t="shared" si="19"/>
        <v>31</v>
      </c>
      <c r="AG36" s="8">
        <v>0</v>
      </c>
      <c r="AH36" s="5">
        <v>0.84499999999999997</v>
      </c>
      <c r="AI36" s="1">
        <v>2</v>
      </c>
      <c r="AJ36" s="3">
        <v>45670</v>
      </c>
      <c r="AK36" s="5">
        <f t="shared" si="10"/>
        <v>8.093</v>
      </c>
      <c r="AL36" s="5">
        <v>8.9380000000000006</v>
      </c>
      <c r="AM36" s="1">
        <v>2</v>
      </c>
      <c r="AN36" s="3">
        <f t="shared" si="11"/>
        <v>45684</v>
      </c>
      <c r="AO36" s="8">
        <v>7.8979999999999997</v>
      </c>
      <c r="AP36" s="8">
        <v>2</v>
      </c>
      <c r="AQ36" s="3">
        <f t="shared" si="14"/>
        <v>45689</v>
      </c>
      <c r="AR36" s="5">
        <f t="shared" si="15"/>
        <v>7.0529999999999999</v>
      </c>
      <c r="AS36" s="1">
        <v>9</v>
      </c>
      <c r="AT36" s="1">
        <v>29</v>
      </c>
      <c r="AU36" s="1">
        <v>98</v>
      </c>
      <c r="AV36" s="1">
        <f t="shared" si="5"/>
        <v>136</v>
      </c>
      <c r="AW36" s="1">
        <v>47</v>
      </c>
      <c r="AX36" s="1">
        <v>296</v>
      </c>
      <c r="AY36" s="1">
        <v>443</v>
      </c>
      <c r="AZ36" s="1">
        <f t="shared" si="6"/>
        <v>786</v>
      </c>
      <c r="BA36" s="1">
        <v>139</v>
      </c>
      <c r="BB36" s="1">
        <v>0</v>
      </c>
      <c r="BC36" s="1">
        <v>0</v>
      </c>
      <c r="BD36" s="8" t="s">
        <v>12</v>
      </c>
      <c r="BE36" s="8" t="s">
        <v>12</v>
      </c>
      <c r="BF36" s="1" t="s">
        <v>12</v>
      </c>
      <c r="BG36" s="1" t="s">
        <v>12</v>
      </c>
      <c r="BH36" s="1" t="s">
        <v>12</v>
      </c>
      <c r="BI36" s="1">
        <f>BA36+BB36+BC36</f>
        <v>139</v>
      </c>
      <c r="BJ36" s="1">
        <f t="shared" si="7"/>
        <v>1061</v>
      </c>
      <c r="BK36" s="3">
        <v>45696</v>
      </c>
      <c r="BL36" s="6"/>
      <c r="BM36" s="6" t="s">
        <v>56</v>
      </c>
      <c r="BN36" s="6" t="s">
        <v>201</v>
      </c>
      <c r="BO36" s="13">
        <v>52.38</v>
      </c>
      <c r="BP36" s="13">
        <v>7.22</v>
      </c>
      <c r="BQ36" s="1">
        <v>9</v>
      </c>
      <c r="BR36" s="1">
        <v>1</v>
      </c>
      <c r="BS36" s="1">
        <f>BQ36+BR36</f>
        <v>10</v>
      </c>
      <c r="BT36" s="1">
        <v>14</v>
      </c>
      <c r="BU36" s="1">
        <v>0</v>
      </c>
      <c r="BV36" s="1">
        <f>BT36+BU36</f>
        <v>14</v>
      </c>
      <c r="BW36" s="1">
        <v>10</v>
      </c>
      <c r="BX36" s="1">
        <v>0</v>
      </c>
      <c r="BY36" s="1">
        <f>BW36+BX36</f>
        <v>10</v>
      </c>
      <c r="BZ36" s="1">
        <v>13</v>
      </c>
      <c r="CA36" s="1">
        <v>0</v>
      </c>
      <c r="CB36" s="1">
        <f>BZ36+CA36</f>
        <v>13</v>
      </c>
      <c r="CC36" s="1">
        <f>BS36+BV36+BY36+CB36</f>
        <v>47</v>
      </c>
      <c r="CE36" s="7">
        <f>CC36+CD36</f>
        <v>47</v>
      </c>
      <c r="CF36" s="8">
        <v>5</v>
      </c>
      <c r="CG36" s="8">
        <v>8</v>
      </c>
      <c r="CH36" s="8">
        <v>13</v>
      </c>
      <c r="CI36" s="8">
        <v>9</v>
      </c>
      <c r="CJ36" s="8">
        <v>1</v>
      </c>
      <c r="CK36" s="8">
        <v>2</v>
      </c>
      <c r="CL36" s="8">
        <v>0</v>
      </c>
      <c r="CM36" s="8">
        <v>0</v>
      </c>
      <c r="CN36" s="1">
        <f>CF36+CG36+CH36+CI36+CJ36+CK36+CL36+CM36</f>
        <v>38</v>
      </c>
      <c r="CO36" s="1">
        <f>CN36/CE36</f>
        <v>0.80851063829787229</v>
      </c>
      <c r="CP36" s="8">
        <v>2.766</v>
      </c>
      <c r="CQ36" s="8">
        <v>4</v>
      </c>
      <c r="CR36" s="1">
        <f>CP36/CQ36</f>
        <v>0.6915</v>
      </c>
      <c r="CS36" s="1">
        <v>5.766</v>
      </c>
      <c r="CT36" s="8">
        <v>5</v>
      </c>
      <c r="CU36" s="1">
        <f>CS36/CT36</f>
        <v>1.1532</v>
      </c>
    </row>
    <row r="37" spans="1:99" x14ac:dyDescent="0.25">
      <c r="A37" s="1">
        <v>37</v>
      </c>
      <c r="B37" s="1">
        <v>35</v>
      </c>
      <c r="C37" s="2" t="s">
        <v>57</v>
      </c>
      <c r="D37" s="1" t="s">
        <v>280</v>
      </c>
      <c r="E37" s="1" t="s">
        <v>12</v>
      </c>
      <c r="F37" s="1" t="str">
        <f t="shared" si="16"/>
        <v>I</v>
      </c>
      <c r="G37" s="1" t="str">
        <f t="shared" si="17"/>
        <v>C</v>
      </c>
      <c r="H37" s="1">
        <v>0</v>
      </c>
      <c r="I37" s="1">
        <v>1</v>
      </c>
      <c r="J37" s="8" t="s">
        <v>278</v>
      </c>
      <c r="K37" s="8">
        <v>2</v>
      </c>
      <c r="L37" s="8">
        <v>1</v>
      </c>
      <c r="M37" s="8">
        <v>0</v>
      </c>
      <c r="N37" s="8">
        <v>8.1999999999999993</v>
      </c>
      <c r="O37" s="8"/>
      <c r="P37" s="1" t="s">
        <v>8</v>
      </c>
      <c r="Q37" s="3">
        <v>45665</v>
      </c>
      <c r="R37" s="3">
        <v>45666</v>
      </c>
      <c r="S37" s="3">
        <v>45656</v>
      </c>
      <c r="T37" s="3">
        <v>45657</v>
      </c>
      <c r="U37" s="1">
        <f t="shared" si="18"/>
        <v>9</v>
      </c>
      <c r="V37" s="1" t="s">
        <v>12</v>
      </c>
      <c r="W37" s="1" t="s">
        <v>12</v>
      </c>
      <c r="X37" s="1" t="s">
        <v>12</v>
      </c>
      <c r="Y37" s="1" t="s">
        <v>12</v>
      </c>
      <c r="AA37" s="3">
        <v>45674</v>
      </c>
      <c r="AE37" s="11">
        <f>AA37</f>
        <v>45674</v>
      </c>
      <c r="AF37" s="1">
        <f t="shared" si="19"/>
        <v>8</v>
      </c>
      <c r="AG37" s="1">
        <v>1</v>
      </c>
      <c r="AH37" s="5">
        <v>0.46300000000000002</v>
      </c>
      <c r="AI37" s="1">
        <v>2</v>
      </c>
      <c r="AJ37" s="3">
        <v>45670</v>
      </c>
      <c r="AK37" s="5" t="s">
        <v>12</v>
      </c>
      <c r="AL37" s="5" t="s">
        <v>12</v>
      </c>
      <c r="AM37" s="1" t="s">
        <v>12</v>
      </c>
      <c r="AN37" s="3" t="s">
        <v>12</v>
      </c>
      <c r="AO37" s="1" t="s">
        <v>12</v>
      </c>
      <c r="AP37" s="5" t="s">
        <v>12</v>
      </c>
      <c r="AQ37" s="3" t="s">
        <v>12</v>
      </c>
      <c r="AR37" s="1" t="s">
        <v>12</v>
      </c>
      <c r="AS37" s="1">
        <v>8</v>
      </c>
      <c r="AT37" s="1">
        <v>19</v>
      </c>
      <c r="AU37" s="1">
        <v>8</v>
      </c>
      <c r="AV37" s="1">
        <f t="shared" si="5"/>
        <v>35</v>
      </c>
      <c r="AW37" s="1">
        <v>0</v>
      </c>
      <c r="AX37" s="1" t="s">
        <v>12</v>
      </c>
      <c r="AY37" s="1" t="s">
        <v>12</v>
      </c>
      <c r="AZ37" s="1">
        <f>AW37</f>
        <v>0</v>
      </c>
      <c r="BA37" s="1" t="s">
        <v>12</v>
      </c>
      <c r="BB37" s="1" t="s">
        <v>12</v>
      </c>
      <c r="BC37" s="1" t="s">
        <v>12</v>
      </c>
      <c r="BD37" s="1" t="s">
        <v>12</v>
      </c>
      <c r="BE37" s="1" t="s">
        <v>12</v>
      </c>
      <c r="BF37" s="1" t="s">
        <v>12</v>
      </c>
      <c r="BG37" s="1" t="s">
        <v>12</v>
      </c>
      <c r="BH37" s="1" t="s">
        <v>12</v>
      </c>
      <c r="BI37" s="1" t="s">
        <v>12</v>
      </c>
      <c r="BJ37" s="1" t="s">
        <v>12</v>
      </c>
      <c r="BK37" s="3" t="s">
        <v>12</v>
      </c>
      <c r="BL37" s="10" t="s">
        <v>12</v>
      </c>
      <c r="BM37" s="10" t="s">
        <v>12</v>
      </c>
      <c r="BN37" s="14" t="s">
        <v>12</v>
      </c>
      <c r="BO37" s="13" t="s">
        <v>12</v>
      </c>
      <c r="BP37" s="13" t="s">
        <v>12</v>
      </c>
      <c r="BQ37" s="13" t="s">
        <v>12</v>
      </c>
      <c r="BR37" s="13" t="s">
        <v>12</v>
      </c>
      <c r="BS37" s="13" t="s">
        <v>12</v>
      </c>
      <c r="BT37" s="13" t="s">
        <v>12</v>
      </c>
      <c r="BU37" s="13" t="s">
        <v>12</v>
      </c>
      <c r="BV37" s="13" t="s">
        <v>12</v>
      </c>
      <c r="BW37" s="13" t="s">
        <v>12</v>
      </c>
      <c r="BX37" s="13" t="s">
        <v>12</v>
      </c>
      <c r="BY37" s="13" t="s">
        <v>12</v>
      </c>
      <c r="BZ37" s="13" t="s">
        <v>12</v>
      </c>
      <c r="CA37" s="13" t="s">
        <v>12</v>
      </c>
      <c r="CB37" s="13" t="s">
        <v>12</v>
      </c>
      <c r="CC37" s="13" t="s">
        <v>12</v>
      </c>
      <c r="CD37" s="13"/>
      <c r="CE37" s="13" t="s">
        <v>12</v>
      </c>
      <c r="CF37" s="13" t="s">
        <v>12</v>
      </c>
      <c r="CG37" s="13" t="s">
        <v>12</v>
      </c>
      <c r="CH37" s="13" t="s">
        <v>12</v>
      </c>
      <c r="CI37" s="13" t="s">
        <v>12</v>
      </c>
      <c r="CJ37" s="13" t="s">
        <v>12</v>
      </c>
      <c r="CK37" s="13" t="s">
        <v>12</v>
      </c>
      <c r="CL37" s="13" t="s">
        <v>12</v>
      </c>
      <c r="CM37" s="13" t="s">
        <v>12</v>
      </c>
      <c r="CN37" s="13" t="s">
        <v>12</v>
      </c>
      <c r="CO37" s="13" t="s">
        <v>12</v>
      </c>
    </row>
    <row r="38" spans="1:99" x14ac:dyDescent="0.25">
      <c r="A38" s="1">
        <v>38</v>
      </c>
      <c r="B38" s="1">
        <v>36</v>
      </c>
      <c r="C38" s="2" t="s">
        <v>58</v>
      </c>
      <c r="D38" s="1" t="s">
        <v>280</v>
      </c>
      <c r="E38" s="1" t="s">
        <v>12</v>
      </c>
      <c r="F38" s="1" t="str">
        <f t="shared" si="16"/>
        <v>M</v>
      </c>
      <c r="G38" s="1" t="str">
        <f t="shared" si="17"/>
        <v>D</v>
      </c>
      <c r="H38" s="1">
        <v>1</v>
      </c>
      <c r="I38" s="1">
        <v>1</v>
      </c>
      <c r="J38" s="8" t="s">
        <v>276</v>
      </c>
      <c r="K38" s="8">
        <v>2</v>
      </c>
      <c r="L38" s="8">
        <v>1</v>
      </c>
      <c r="M38" s="8">
        <v>0</v>
      </c>
      <c r="N38" s="8">
        <v>9.1999999999999993</v>
      </c>
      <c r="O38" s="8"/>
      <c r="P38" s="1" t="s">
        <v>8</v>
      </c>
      <c r="Q38" s="3">
        <v>45665</v>
      </c>
      <c r="R38" s="3">
        <v>45666</v>
      </c>
      <c r="S38" s="3">
        <v>45656</v>
      </c>
      <c r="T38" s="3">
        <v>45657</v>
      </c>
      <c r="U38" s="1">
        <f t="shared" si="18"/>
        <v>9</v>
      </c>
      <c r="V38" s="1" t="s">
        <v>12</v>
      </c>
      <c r="W38" s="1" t="s">
        <v>12</v>
      </c>
      <c r="X38" s="1" t="s">
        <v>12</v>
      </c>
      <c r="Y38" s="1" t="s">
        <v>12</v>
      </c>
      <c r="AA38" s="3">
        <v>45676</v>
      </c>
      <c r="AE38" s="11">
        <f>AA38</f>
        <v>45676</v>
      </c>
      <c r="AF38" s="1">
        <f t="shared" si="19"/>
        <v>10</v>
      </c>
      <c r="AG38" s="1">
        <v>1</v>
      </c>
      <c r="AH38" s="5">
        <v>0.67800000000000005</v>
      </c>
      <c r="AI38" s="1">
        <v>2</v>
      </c>
      <c r="AJ38" s="3">
        <v>45670</v>
      </c>
      <c r="AK38" s="5" t="s">
        <v>12</v>
      </c>
      <c r="AL38" s="5" t="s">
        <v>12</v>
      </c>
      <c r="AM38" s="1" t="s">
        <v>12</v>
      </c>
      <c r="AN38" s="3" t="s">
        <v>12</v>
      </c>
      <c r="AO38" s="1" t="s">
        <v>12</v>
      </c>
      <c r="AP38" s="5" t="s">
        <v>12</v>
      </c>
      <c r="AQ38" s="3" t="s">
        <v>12</v>
      </c>
      <c r="AR38" s="1" t="s">
        <v>12</v>
      </c>
      <c r="AS38" s="1">
        <v>16</v>
      </c>
      <c r="AT38" s="1">
        <v>7</v>
      </c>
      <c r="AU38" s="1">
        <v>51</v>
      </c>
      <c r="AV38" s="1">
        <f t="shared" si="5"/>
        <v>74</v>
      </c>
      <c r="AW38" s="1">
        <v>18</v>
      </c>
      <c r="AX38" s="1">
        <v>42</v>
      </c>
      <c r="AY38" s="1" t="s">
        <v>12</v>
      </c>
      <c r="AZ38" s="1">
        <f>AW38+AX38</f>
        <v>60</v>
      </c>
      <c r="BA38" s="1" t="s">
        <v>12</v>
      </c>
      <c r="BB38" s="1" t="s">
        <v>12</v>
      </c>
      <c r="BC38" s="1" t="s">
        <v>12</v>
      </c>
      <c r="BD38" s="1" t="s">
        <v>12</v>
      </c>
      <c r="BE38" s="1" t="s">
        <v>12</v>
      </c>
      <c r="BF38" s="1" t="s">
        <v>12</v>
      </c>
      <c r="BG38" s="1" t="s">
        <v>12</v>
      </c>
      <c r="BH38" s="1" t="s">
        <v>12</v>
      </c>
      <c r="BI38" s="1" t="s">
        <v>12</v>
      </c>
      <c r="BJ38" s="1" t="s">
        <v>12</v>
      </c>
      <c r="BK38" s="3" t="s">
        <v>12</v>
      </c>
      <c r="BL38" s="10" t="s">
        <v>12</v>
      </c>
      <c r="BM38" s="10" t="s">
        <v>12</v>
      </c>
      <c r="BN38" s="14" t="s">
        <v>12</v>
      </c>
      <c r="BO38" s="13" t="s">
        <v>12</v>
      </c>
      <c r="BP38" s="13" t="s">
        <v>12</v>
      </c>
      <c r="BQ38" s="13" t="s">
        <v>12</v>
      </c>
      <c r="BR38" s="13" t="s">
        <v>12</v>
      </c>
      <c r="BS38" s="13" t="s">
        <v>12</v>
      </c>
      <c r="BT38" s="13" t="s">
        <v>12</v>
      </c>
      <c r="BU38" s="13" t="s">
        <v>12</v>
      </c>
      <c r="BV38" s="13" t="s">
        <v>12</v>
      </c>
      <c r="BW38" s="13" t="s">
        <v>12</v>
      </c>
      <c r="BX38" s="13" t="s">
        <v>12</v>
      </c>
      <c r="BY38" s="13" t="s">
        <v>12</v>
      </c>
      <c r="BZ38" s="13" t="s">
        <v>12</v>
      </c>
      <c r="CA38" s="13" t="s">
        <v>12</v>
      </c>
      <c r="CB38" s="13" t="s">
        <v>12</v>
      </c>
      <c r="CC38" s="13" t="s">
        <v>12</v>
      </c>
      <c r="CD38" s="13"/>
      <c r="CE38" s="13" t="s">
        <v>12</v>
      </c>
      <c r="CF38" s="13" t="s">
        <v>12</v>
      </c>
      <c r="CG38" s="13" t="s">
        <v>12</v>
      </c>
      <c r="CH38" s="13" t="s">
        <v>12</v>
      </c>
      <c r="CI38" s="13" t="s">
        <v>12</v>
      </c>
      <c r="CJ38" s="13" t="s">
        <v>12</v>
      </c>
      <c r="CK38" s="13" t="s">
        <v>12</v>
      </c>
      <c r="CL38" s="13" t="s">
        <v>12</v>
      </c>
      <c r="CM38" s="13" t="s">
        <v>12</v>
      </c>
      <c r="CN38" s="13" t="s">
        <v>12</v>
      </c>
      <c r="CO38" s="13" t="s">
        <v>12</v>
      </c>
    </row>
    <row r="39" spans="1:99" x14ac:dyDescent="0.25">
      <c r="A39" s="1">
        <v>39</v>
      </c>
      <c r="B39" s="1">
        <v>37</v>
      </c>
      <c r="C39" s="2" t="s">
        <v>59</v>
      </c>
      <c r="D39" s="3" t="s">
        <v>27</v>
      </c>
      <c r="E39" s="1" t="str">
        <f>D39</f>
        <v>f</v>
      </c>
      <c r="F39" s="1" t="str">
        <f t="shared" si="16"/>
        <v>C</v>
      </c>
      <c r="G39" s="1" t="str">
        <f t="shared" si="17"/>
        <v>A</v>
      </c>
      <c r="H39" s="1">
        <v>0</v>
      </c>
      <c r="I39" s="1">
        <v>0</v>
      </c>
      <c r="J39" s="8" t="s">
        <v>278</v>
      </c>
      <c r="K39" s="8">
        <v>2</v>
      </c>
      <c r="L39" s="8">
        <v>1</v>
      </c>
      <c r="M39" s="8">
        <v>1</v>
      </c>
      <c r="N39" s="8">
        <v>9.1999999999999993</v>
      </c>
      <c r="O39" s="8">
        <v>1</v>
      </c>
      <c r="P39" s="1" t="s">
        <v>8</v>
      </c>
      <c r="Q39" s="3">
        <v>45665</v>
      </c>
      <c r="R39" s="3">
        <v>45666</v>
      </c>
      <c r="S39" s="3">
        <v>45656</v>
      </c>
      <c r="T39" s="3">
        <v>45657</v>
      </c>
      <c r="U39" s="1">
        <f t="shared" si="18"/>
        <v>9</v>
      </c>
      <c r="V39" s="3">
        <v>45683</v>
      </c>
      <c r="W39" s="1">
        <f>_xlfn.DAYS(V39,R39)</f>
        <v>17</v>
      </c>
      <c r="X39" s="3">
        <v>45688</v>
      </c>
      <c r="Y39" s="1">
        <f>_xlfn.DAYS(X39,R39)</f>
        <v>22</v>
      </c>
      <c r="Z39" s="1">
        <f>_xlfn.DAYS(BK39,X39)</f>
        <v>7</v>
      </c>
      <c r="AB39" s="3">
        <v>45701</v>
      </c>
      <c r="AD39" s="11" t="s">
        <v>86</v>
      </c>
      <c r="AE39" s="11">
        <v>45697</v>
      </c>
      <c r="AF39" s="1">
        <f t="shared" si="19"/>
        <v>31</v>
      </c>
      <c r="AG39" s="8">
        <v>0</v>
      </c>
      <c r="AH39" s="5">
        <v>0.64500000000000002</v>
      </c>
      <c r="AI39" s="1">
        <v>2</v>
      </c>
      <c r="AJ39" s="3">
        <v>45670</v>
      </c>
      <c r="AK39" s="5">
        <f>AL39-AH39</f>
        <v>7.5810000000000013</v>
      </c>
      <c r="AL39" s="5">
        <v>8.2260000000000009</v>
      </c>
      <c r="AM39" s="1">
        <v>2</v>
      </c>
      <c r="AN39" s="3">
        <f>V39+1</f>
        <v>45684</v>
      </c>
      <c r="AO39" s="1">
        <v>8.1880000000000006</v>
      </c>
      <c r="AP39" s="8">
        <v>2</v>
      </c>
      <c r="AQ39" s="3">
        <f>X39+1</f>
        <v>45689</v>
      </c>
      <c r="AR39" s="5">
        <f>AO39-AH39</f>
        <v>7.543000000000001</v>
      </c>
      <c r="AS39" s="1">
        <v>8</v>
      </c>
      <c r="AT39" s="1">
        <v>14</v>
      </c>
      <c r="AU39" s="1">
        <v>37</v>
      </c>
      <c r="AV39" s="1">
        <f t="shared" si="5"/>
        <v>59</v>
      </c>
      <c r="AW39" s="1">
        <v>68</v>
      </c>
      <c r="AX39" s="1">
        <v>225</v>
      </c>
      <c r="AY39" s="1">
        <v>324</v>
      </c>
      <c r="AZ39" s="1">
        <f>SUM(AW39+AX39+AY39)</f>
        <v>617</v>
      </c>
      <c r="BA39" s="1">
        <v>29</v>
      </c>
      <c r="BB39" s="1">
        <v>0</v>
      </c>
      <c r="BC39" s="1">
        <v>0</v>
      </c>
      <c r="BD39" s="8" t="s">
        <v>12</v>
      </c>
      <c r="BE39" s="8" t="s">
        <v>12</v>
      </c>
      <c r="BF39" s="1" t="s">
        <v>12</v>
      </c>
      <c r="BG39" s="1" t="s">
        <v>12</v>
      </c>
      <c r="BH39" s="1" t="s">
        <v>12</v>
      </c>
      <c r="BI39" s="1">
        <f>BA39+BB39+BC39</f>
        <v>29</v>
      </c>
      <c r="BJ39" s="1">
        <f>AV39+AZ39+BI39</f>
        <v>705</v>
      </c>
      <c r="BK39" s="3">
        <v>45695</v>
      </c>
      <c r="BL39" s="6"/>
      <c r="BM39" s="6" t="s">
        <v>60</v>
      </c>
      <c r="BN39" s="6" t="s">
        <v>193</v>
      </c>
      <c r="BO39" s="13">
        <v>0</v>
      </c>
      <c r="BP39" s="13">
        <v>60</v>
      </c>
      <c r="BQ39" s="1">
        <v>13</v>
      </c>
      <c r="BR39" s="1">
        <v>0</v>
      </c>
      <c r="BS39" s="1">
        <f>BQ39+BR39</f>
        <v>13</v>
      </c>
      <c r="BT39" s="1">
        <v>10</v>
      </c>
      <c r="BU39" s="1">
        <v>2</v>
      </c>
      <c r="BV39" s="1">
        <f>BT39+BU39</f>
        <v>12</v>
      </c>
      <c r="BW39" s="1">
        <v>11</v>
      </c>
      <c r="BX39" s="1">
        <v>0</v>
      </c>
      <c r="BY39" s="1">
        <f>BW39+BX39</f>
        <v>11</v>
      </c>
      <c r="BZ39" s="1">
        <v>14</v>
      </c>
      <c r="CA39" s="1">
        <v>0</v>
      </c>
      <c r="CB39" s="1">
        <f>BZ39+CA39</f>
        <v>14</v>
      </c>
      <c r="CC39" s="1">
        <f>BS39+BV39+BY39+CB39</f>
        <v>50</v>
      </c>
      <c r="CE39" s="7">
        <f>CC39+CD39</f>
        <v>50</v>
      </c>
      <c r="CF39" s="8">
        <v>7</v>
      </c>
      <c r="CG39" s="8">
        <v>12</v>
      </c>
      <c r="CH39" s="8">
        <v>12</v>
      </c>
      <c r="CI39" s="8">
        <v>13</v>
      </c>
      <c r="CJ39" s="8">
        <v>2</v>
      </c>
      <c r="CK39" s="8">
        <v>0</v>
      </c>
      <c r="CL39" s="8">
        <v>0</v>
      </c>
      <c r="CM39" s="8">
        <v>0</v>
      </c>
      <c r="CN39" s="1">
        <f>CF39+CG39+CH39+CI39+CJ39+CK39+CL39+CM39</f>
        <v>46</v>
      </c>
      <c r="CO39" s="1">
        <f>CN39/CE39</f>
        <v>0.92</v>
      </c>
      <c r="CP39" s="8">
        <v>5.5149999999999997</v>
      </c>
      <c r="CQ39" s="8">
        <v>5</v>
      </c>
      <c r="CR39" s="1">
        <f>CP39/CQ39</f>
        <v>1.103</v>
      </c>
      <c r="CS39" s="1">
        <v>2.2320000000000002</v>
      </c>
      <c r="CT39" s="8">
        <v>4</v>
      </c>
      <c r="CU39" s="1">
        <f>CS39/CT39</f>
        <v>0.55800000000000005</v>
      </c>
    </row>
    <row r="40" spans="1:99" x14ac:dyDescent="0.25">
      <c r="A40" s="1">
        <v>40</v>
      </c>
      <c r="B40" s="1">
        <v>38</v>
      </c>
      <c r="C40" s="2" t="s">
        <v>61</v>
      </c>
      <c r="D40" s="3" t="s">
        <v>10</v>
      </c>
      <c r="E40" s="1" t="str">
        <f>D40</f>
        <v>m</v>
      </c>
      <c r="F40" s="1" t="str">
        <f t="shared" si="16"/>
        <v>A</v>
      </c>
      <c r="G40" s="1" t="str">
        <f t="shared" si="17"/>
        <v>B</v>
      </c>
      <c r="H40" s="1">
        <v>1</v>
      </c>
      <c r="I40" s="1">
        <v>0</v>
      </c>
      <c r="J40" s="8" t="s">
        <v>278</v>
      </c>
      <c r="K40" s="8">
        <v>2</v>
      </c>
      <c r="L40" s="8">
        <v>1</v>
      </c>
      <c r="M40" s="8">
        <v>2</v>
      </c>
      <c r="N40" s="8">
        <v>9.1999999999999993</v>
      </c>
      <c r="O40" s="8">
        <v>1</v>
      </c>
      <c r="P40" s="1" t="s">
        <v>8</v>
      </c>
      <c r="Q40" s="3">
        <v>45665</v>
      </c>
      <c r="R40" s="3">
        <v>45666</v>
      </c>
      <c r="S40" s="3">
        <v>45656</v>
      </c>
      <c r="T40" s="3">
        <v>45657</v>
      </c>
      <c r="U40" s="1">
        <f t="shared" si="18"/>
        <v>9</v>
      </c>
      <c r="V40" s="3">
        <v>45683</v>
      </c>
      <c r="W40" s="1">
        <f>_xlfn.DAYS(V40,R40)</f>
        <v>17</v>
      </c>
      <c r="X40" s="3">
        <v>45688</v>
      </c>
      <c r="Y40" s="1">
        <f>_xlfn.DAYS(X40,R40)</f>
        <v>22</v>
      </c>
      <c r="Z40" s="1">
        <f>_xlfn.DAYS(BK40,X40)</f>
        <v>7</v>
      </c>
      <c r="AB40" s="3">
        <v>45697</v>
      </c>
      <c r="AD40" s="11" t="s">
        <v>86</v>
      </c>
      <c r="AE40" s="11">
        <v>45697</v>
      </c>
      <c r="AF40" s="1">
        <f t="shared" si="19"/>
        <v>31</v>
      </c>
      <c r="AG40" s="8">
        <v>0</v>
      </c>
      <c r="AH40" s="5">
        <v>0.95099999999999996</v>
      </c>
      <c r="AI40" s="1">
        <v>2</v>
      </c>
      <c r="AJ40" s="3">
        <v>45670</v>
      </c>
      <c r="AK40" s="5">
        <f>AL40-AH40</f>
        <v>5.4160000000000004</v>
      </c>
      <c r="AL40" s="5">
        <v>6.367</v>
      </c>
      <c r="AM40" s="1">
        <v>2</v>
      </c>
      <c r="AN40" s="3">
        <f>V40+1</f>
        <v>45684</v>
      </c>
      <c r="AO40" s="1">
        <v>5.9130000000000003</v>
      </c>
      <c r="AP40" s="8">
        <v>2</v>
      </c>
      <c r="AQ40" s="3">
        <f>X40+1</f>
        <v>45689</v>
      </c>
      <c r="AR40" s="5">
        <f>AO40-AH40</f>
        <v>4.9620000000000006</v>
      </c>
      <c r="AS40" s="1">
        <v>9</v>
      </c>
      <c r="AT40" s="1">
        <v>27</v>
      </c>
      <c r="AU40" s="1">
        <v>48</v>
      </c>
      <c r="AV40" s="1">
        <f t="shared" si="5"/>
        <v>84</v>
      </c>
      <c r="AW40" s="1">
        <v>60</v>
      </c>
      <c r="AX40" s="1">
        <v>232</v>
      </c>
      <c r="AY40" s="1">
        <v>221</v>
      </c>
      <c r="AZ40" s="1">
        <f>SUM(AW40+AX40+AY40)</f>
        <v>513</v>
      </c>
      <c r="BA40" s="1">
        <v>17</v>
      </c>
      <c r="BB40" s="1">
        <v>0</v>
      </c>
      <c r="BC40" s="1">
        <v>0</v>
      </c>
      <c r="BD40" s="8" t="s">
        <v>12</v>
      </c>
      <c r="BE40" s="8" t="s">
        <v>12</v>
      </c>
      <c r="BF40" s="1" t="s">
        <v>12</v>
      </c>
      <c r="BG40" s="1" t="s">
        <v>12</v>
      </c>
      <c r="BH40" s="1" t="s">
        <v>12</v>
      </c>
      <c r="BI40" s="1">
        <f>BA40+BB40+BC40</f>
        <v>17</v>
      </c>
      <c r="BJ40" s="1">
        <f>AV40+AZ40+BI40</f>
        <v>614</v>
      </c>
      <c r="BK40" s="3">
        <v>45695</v>
      </c>
      <c r="BL40" s="6" t="s">
        <v>62</v>
      </c>
      <c r="BM40" s="6"/>
      <c r="BN40" s="6" t="s">
        <v>194</v>
      </c>
      <c r="BO40" s="13">
        <v>0</v>
      </c>
      <c r="BP40" s="13">
        <v>60</v>
      </c>
      <c r="BQ40" s="1">
        <v>7</v>
      </c>
      <c r="BR40" s="1">
        <v>1</v>
      </c>
      <c r="BS40" s="1">
        <f>BQ40+BR40</f>
        <v>8</v>
      </c>
      <c r="BT40" s="1">
        <v>12</v>
      </c>
      <c r="BU40" s="1">
        <v>0</v>
      </c>
      <c r="BV40" s="1">
        <f>BT40+BU40</f>
        <v>12</v>
      </c>
      <c r="BW40" s="1">
        <v>11</v>
      </c>
      <c r="BX40" s="1">
        <v>0</v>
      </c>
      <c r="BY40" s="1">
        <f>BW40+BX40</f>
        <v>11</v>
      </c>
      <c r="BZ40" s="1">
        <v>11</v>
      </c>
      <c r="CA40" s="1">
        <v>0</v>
      </c>
      <c r="CB40" s="1">
        <f>BZ40+CA40</f>
        <v>11</v>
      </c>
      <c r="CC40" s="1">
        <f>BS40+BV40+BY40+CB40</f>
        <v>42</v>
      </c>
      <c r="CE40" s="7">
        <f>CC40+CD40</f>
        <v>42</v>
      </c>
      <c r="CF40" s="1">
        <v>4</v>
      </c>
      <c r="CG40" s="1">
        <v>6</v>
      </c>
      <c r="CH40" s="1">
        <v>9</v>
      </c>
      <c r="CI40" s="1">
        <v>9</v>
      </c>
      <c r="CJ40" s="1">
        <v>0</v>
      </c>
      <c r="CK40" s="1">
        <v>1</v>
      </c>
      <c r="CL40" s="1">
        <v>0</v>
      </c>
      <c r="CM40" s="1">
        <v>0</v>
      </c>
      <c r="CN40" s="1">
        <f>CF40+CG40+CH40+CI40+CJ40+CK40+CL40+CM40</f>
        <v>29</v>
      </c>
      <c r="CO40" s="1">
        <f>CN40/CE40</f>
        <v>0.69047619047619047</v>
      </c>
      <c r="CP40" s="8">
        <v>4.5599999999999996</v>
      </c>
      <c r="CQ40" s="8">
        <v>5</v>
      </c>
      <c r="CR40" s="1">
        <f>CP40/CQ40</f>
        <v>0.91199999999999992</v>
      </c>
      <c r="CS40" s="1">
        <v>2.8580000000000001</v>
      </c>
      <c r="CT40" s="8">
        <v>4</v>
      </c>
      <c r="CU40" s="1">
        <f>CS40/CT40</f>
        <v>0.71450000000000002</v>
      </c>
    </row>
    <row r="41" spans="1:99" x14ac:dyDescent="0.25">
      <c r="A41" s="1">
        <v>41</v>
      </c>
      <c r="B41" s="1">
        <v>39</v>
      </c>
      <c r="C41" s="2" t="s">
        <v>63</v>
      </c>
      <c r="D41" s="3" t="s">
        <v>27</v>
      </c>
      <c r="E41" s="1" t="str">
        <f>D41</f>
        <v>f</v>
      </c>
      <c r="F41" s="1" t="str">
        <f t="shared" si="16"/>
        <v>I</v>
      </c>
      <c r="G41" s="1" t="str">
        <f t="shared" si="17"/>
        <v>C</v>
      </c>
      <c r="H41" s="1">
        <v>0</v>
      </c>
      <c r="I41" s="1">
        <v>1</v>
      </c>
      <c r="J41" s="8" t="s">
        <v>278</v>
      </c>
      <c r="K41" s="8">
        <v>2</v>
      </c>
      <c r="L41" s="8">
        <v>1</v>
      </c>
      <c r="M41" s="8">
        <v>3</v>
      </c>
      <c r="N41" s="8">
        <v>9.1999999999999993</v>
      </c>
      <c r="O41" s="8">
        <v>1</v>
      </c>
      <c r="P41" s="1" t="s">
        <v>8</v>
      </c>
      <c r="Q41" s="3">
        <v>45665</v>
      </c>
      <c r="R41" s="3">
        <v>45666</v>
      </c>
      <c r="S41" s="3">
        <v>45656</v>
      </c>
      <c r="T41" s="3">
        <v>45657</v>
      </c>
      <c r="U41" s="1">
        <f t="shared" si="18"/>
        <v>9</v>
      </c>
      <c r="V41" s="3">
        <v>45683</v>
      </c>
      <c r="W41" s="1">
        <f>_xlfn.DAYS(V41,R41)</f>
        <v>17</v>
      </c>
      <c r="X41" s="3">
        <v>45689</v>
      </c>
      <c r="Y41" s="1">
        <f>_xlfn.DAYS(X41,R41)</f>
        <v>23</v>
      </c>
      <c r="Z41" s="1">
        <f>_xlfn.DAYS(BK41,X41)</f>
        <v>7</v>
      </c>
      <c r="AB41" s="3">
        <v>45702</v>
      </c>
      <c r="AD41" s="11" t="s">
        <v>86</v>
      </c>
      <c r="AE41" s="11">
        <v>45697</v>
      </c>
      <c r="AF41" s="1">
        <f t="shared" si="19"/>
        <v>31</v>
      </c>
      <c r="AG41" s="8">
        <v>0</v>
      </c>
      <c r="AH41" s="5">
        <v>1.0069999999999999</v>
      </c>
      <c r="AI41" s="1">
        <v>2</v>
      </c>
      <c r="AJ41" s="3">
        <v>45670</v>
      </c>
      <c r="AK41" s="5">
        <f>AL41-AH41</f>
        <v>7.18</v>
      </c>
      <c r="AL41" s="5">
        <v>8.1869999999999994</v>
      </c>
      <c r="AM41" s="1">
        <v>2</v>
      </c>
      <c r="AN41" s="3">
        <f>V41+1</f>
        <v>45684</v>
      </c>
      <c r="AO41" s="1">
        <v>7.3949999999999996</v>
      </c>
      <c r="AP41" s="8">
        <v>2</v>
      </c>
      <c r="AQ41" s="3">
        <f>X41+1</f>
        <v>45690</v>
      </c>
      <c r="AR41" s="5">
        <f>AO41-AH41</f>
        <v>6.3879999999999999</v>
      </c>
      <c r="AS41" s="1">
        <v>10</v>
      </c>
      <c r="AT41" s="1">
        <v>26</v>
      </c>
      <c r="AU41" s="1">
        <v>80</v>
      </c>
      <c r="AV41" s="1">
        <f t="shared" si="5"/>
        <v>116</v>
      </c>
      <c r="AW41" s="1">
        <v>37</v>
      </c>
      <c r="AX41" s="1">
        <v>133</v>
      </c>
      <c r="AY41" s="1">
        <v>247</v>
      </c>
      <c r="AZ41" s="1">
        <f>SUM(AW41+AX41+AY41)</f>
        <v>417</v>
      </c>
      <c r="BA41" s="1">
        <v>49</v>
      </c>
      <c r="BB41" s="1">
        <v>2</v>
      </c>
      <c r="BC41" s="1">
        <v>0</v>
      </c>
      <c r="BD41" s="8" t="s">
        <v>12</v>
      </c>
      <c r="BE41" s="8" t="s">
        <v>12</v>
      </c>
      <c r="BF41" s="1" t="s">
        <v>12</v>
      </c>
      <c r="BG41" s="1" t="s">
        <v>12</v>
      </c>
      <c r="BH41" s="1" t="s">
        <v>12</v>
      </c>
      <c r="BI41" s="1">
        <f>BA41+BB41+BC41</f>
        <v>51</v>
      </c>
      <c r="BJ41" s="1">
        <f>AV41+AZ41+BI41</f>
        <v>584</v>
      </c>
      <c r="BK41" s="3">
        <v>45696</v>
      </c>
      <c r="BL41" s="6"/>
      <c r="BM41" s="6" t="s">
        <v>64</v>
      </c>
      <c r="BN41" s="6" t="s">
        <v>202</v>
      </c>
      <c r="BO41" s="13">
        <v>54.11</v>
      </c>
      <c r="BP41" s="13">
        <v>5.49</v>
      </c>
      <c r="BQ41" s="1">
        <v>7</v>
      </c>
      <c r="BR41" s="1">
        <v>2</v>
      </c>
      <c r="BS41" s="1">
        <f>BQ41+BR41</f>
        <v>9</v>
      </c>
      <c r="BT41" s="1">
        <v>14</v>
      </c>
      <c r="BU41" s="1">
        <v>0</v>
      </c>
      <c r="BV41" s="1">
        <f>BT41+BU41</f>
        <v>14</v>
      </c>
      <c r="BW41" s="1">
        <v>10</v>
      </c>
      <c r="BX41" s="1">
        <v>0</v>
      </c>
      <c r="BY41" s="1">
        <f>BW41+BX41</f>
        <v>10</v>
      </c>
      <c r="BZ41" s="1">
        <v>9</v>
      </c>
      <c r="CA41" s="1">
        <v>0</v>
      </c>
      <c r="CB41" s="1">
        <f>BZ41+CA41</f>
        <v>9</v>
      </c>
      <c r="CC41" s="1">
        <f>BS41+BV41+BY41+CB41</f>
        <v>42</v>
      </c>
      <c r="CE41" s="7">
        <f>CC41+CD41</f>
        <v>42</v>
      </c>
      <c r="CF41" s="8">
        <v>8</v>
      </c>
      <c r="CG41" s="8">
        <v>11</v>
      </c>
      <c r="CH41" s="8">
        <v>6</v>
      </c>
      <c r="CI41" s="8">
        <v>8</v>
      </c>
      <c r="CJ41" s="8">
        <v>4</v>
      </c>
      <c r="CK41" s="8">
        <v>0</v>
      </c>
      <c r="CL41" s="8">
        <v>0</v>
      </c>
      <c r="CM41" s="8">
        <v>0</v>
      </c>
      <c r="CN41" s="1">
        <f>CF41+CG41+CH41+CI41+CJ41+CK41+CL41+CM41</f>
        <v>37</v>
      </c>
      <c r="CO41" s="1">
        <f>CN41/CE41</f>
        <v>0.88095238095238093</v>
      </c>
      <c r="CP41" s="8">
        <v>5.2329999999999997</v>
      </c>
      <c r="CQ41" s="8">
        <v>5</v>
      </c>
      <c r="CR41" s="1">
        <f>CP41/CQ41</f>
        <v>1.0466</v>
      </c>
      <c r="CS41" s="1">
        <v>4.6849999999999996</v>
      </c>
      <c r="CT41" s="8">
        <v>5</v>
      </c>
      <c r="CU41" s="1">
        <f>CS41/CT41</f>
        <v>0.93699999999999994</v>
      </c>
    </row>
    <row r="42" spans="1:99" x14ac:dyDescent="0.25">
      <c r="A42" s="1">
        <v>42</v>
      </c>
      <c r="B42" s="1">
        <v>40</v>
      </c>
      <c r="C42" s="2" t="s">
        <v>65</v>
      </c>
      <c r="D42" s="1" t="s">
        <v>280</v>
      </c>
      <c r="E42" s="1" t="s">
        <v>12</v>
      </c>
      <c r="F42" s="1" t="str">
        <f t="shared" si="16"/>
        <v>M</v>
      </c>
      <c r="G42" s="1" t="str">
        <f t="shared" si="17"/>
        <v>D</v>
      </c>
      <c r="H42" s="1">
        <v>1</v>
      </c>
      <c r="I42" s="1">
        <v>1</v>
      </c>
      <c r="J42" s="8" t="s">
        <v>276</v>
      </c>
      <c r="K42" s="8">
        <v>2</v>
      </c>
      <c r="L42" s="8">
        <v>1</v>
      </c>
      <c r="M42" s="1">
        <v>3</v>
      </c>
      <c r="N42" s="8">
        <v>10.199999999999999</v>
      </c>
      <c r="O42" s="8"/>
      <c r="P42" s="1" t="s">
        <v>8</v>
      </c>
      <c r="Q42" s="3">
        <v>45665</v>
      </c>
      <c r="R42" s="3">
        <v>45666</v>
      </c>
      <c r="S42" s="3">
        <v>45656</v>
      </c>
      <c r="T42" s="3">
        <v>45657</v>
      </c>
      <c r="U42" s="1">
        <f t="shared" si="18"/>
        <v>9</v>
      </c>
      <c r="V42" s="1" t="s">
        <v>12</v>
      </c>
      <c r="W42" s="1" t="s">
        <v>12</v>
      </c>
      <c r="X42" s="1" t="s">
        <v>12</v>
      </c>
      <c r="Y42" s="1" t="s">
        <v>12</v>
      </c>
      <c r="AA42" s="3">
        <v>45685</v>
      </c>
      <c r="AD42" s="11"/>
      <c r="AE42" s="11">
        <f>AA42</f>
        <v>45685</v>
      </c>
      <c r="AF42" s="1">
        <f t="shared" si="19"/>
        <v>19</v>
      </c>
      <c r="AG42" s="1">
        <v>1</v>
      </c>
      <c r="AH42" s="5">
        <v>0.438</v>
      </c>
      <c r="AI42" s="1">
        <v>2</v>
      </c>
      <c r="AJ42" s="3">
        <v>45670</v>
      </c>
      <c r="AK42" s="5" t="s">
        <v>12</v>
      </c>
      <c r="AL42" s="5" t="s">
        <v>12</v>
      </c>
      <c r="AM42" s="1" t="s">
        <v>12</v>
      </c>
      <c r="AN42" s="3" t="s">
        <v>12</v>
      </c>
      <c r="AO42" s="1" t="s">
        <v>12</v>
      </c>
      <c r="AP42" s="5" t="s">
        <v>12</v>
      </c>
      <c r="AQ42" s="3" t="s">
        <v>12</v>
      </c>
      <c r="AR42" s="1" t="s">
        <v>12</v>
      </c>
      <c r="AS42" s="1">
        <v>11</v>
      </c>
      <c r="AT42" s="1">
        <v>10</v>
      </c>
      <c r="AU42" s="1">
        <v>15</v>
      </c>
      <c r="AV42" s="1">
        <f t="shared" si="5"/>
        <v>36</v>
      </c>
      <c r="AW42" s="1">
        <v>7</v>
      </c>
      <c r="AX42" s="1">
        <v>28</v>
      </c>
      <c r="AY42" s="1">
        <v>34</v>
      </c>
      <c r="AZ42" s="1">
        <f>SUM(AW42+AX42+AY42)</f>
        <v>69</v>
      </c>
      <c r="BA42" s="1">
        <v>16</v>
      </c>
      <c r="BB42" s="1">
        <v>19</v>
      </c>
      <c r="BC42" s="1">
        <v>19</v>
      </c>
      <c r="BD42" s="8" t="s">
        <v>12</v>
      </c>
      <c r="BE42" s="8" t="s">
        <v>12</v>
      </c>
      <c r="BF42" s="1" t="s">
        <v>12</v>
      </c>
      <c r="BG42" s="1" t="s">
        <v>12</v>
      </c>
      <c r="BH42" s="1" t="s">
        <v>12</v>
      </c>
      <c r="BI42" s="1">
        <f>BA42+BB42+BC42</f>
        <v>54</v>
      </c>
      <c r="BJ42" s="1">
        <f>AV42+AZ42+BI42</f>
        <v>159</v>
      </c>
      <c r="BK42" s="3" t="s">
        <v>12</v>
      </c>
      <c r="BL42" s="10" t="s">
        <v>12</v>
      </c>
      <c r="BM42" s="10" t="s">
        <v>12</v>
      </c>
      <c r="BN42" s="14" t="s">
        <v>12</v>
      </c>
      <c r="BO42" s="13" t="s">
        <v>12</v>
      </c>
      <c r="BP42" s="13" t="s">
        <v>12</v>
      </c>
      <c r="BQ42" s="13" t="s">
        <v>12</v>
      </c>
      <c r="BR42" s="13" t="s">
        <v>12</v>
      </c>
      <c r="BS42" s="13" t="s">
        <v>12</v>
      </c>
      <c r="BT42" s="13" t="s">
        <v>12</v>
      </c>
      <c r="BU42" s="13" t="s">
        <v>12</v>
      </c>
      <c r="BV42" s="13" t="s">
        <v>12</v>
      </c>
      <c r="BW42" s="13" t="s">
        <v>12</v>
      </c>
      <c r="BX42" s="13" t="s">
        <v>12</v>
      </c>
      <c r="BY42" s="13" t="s">
        <v>12</v>
      </c>
      <c r="BZ42" s="13" t="s">
        <v>12</v>
      </c>
      <c r="CA42" s="13" t="s">
        <v>12</v>
      </c>
      <c r="CB42" s="13" t="s">
        <v>12</v>
      </c>
      <c r="CC42" s="13" t="s">
        <v>12</v>
      </c>
      <c r="CD42" s="13"/>
      <c r="CE42" s="13" t="s">
        <v>12</v>
      </c>
      <c r="CF42" s="13" t="s">
        <v>12</v>
      </c>
      <c r="CG42" s="13" t="s">
        <v>12</v>
      </c>
      <c r="CH42" s="13" t="s">
        <v>12</v>
      </c>
      <c r="CI42" s="13" t="s">
        <v>12</v>
      </c>
      <c r="CJ42" s="13" t="s">
        <v>12</v>
      </c>
      <c r="CK42" s="13" t="s">
        <v>12</v>
      </c>
      <c r="CL42" s="13" t="s">
        <v>12</v>
      </c>
      <c r="CM42" s="13" t="s">
        <v>12</v>
      </c>
      <c r="CN42" s="13" t="s">
        <v>12</v>
      </c>
      <c r="CO42" s="13" t="s">
        <v>12</v>
      </c>
    </row>
    <row r="43" spans="1:99" x14ac:dyDescent="0.25">
      <c r="A43" s="1">
        <v>43</v>
      </c>
      <c r="B43" s="1">
        <v>41</v>
      </c>
      <c r="C43" s="2" t="s">
        <v>66</v>
      </c>
      <c r="D43" s="1" t="s">
        <v>280</v>
      </c>
      <c r="E43" s="1" t="s">
        <v>12</v>
      </c>
      <c r="F43" s="1" t="str">
        <f t="shared" si="16"/>
        <v>I</v>
      </c>
      <c r="G43" s="1" t="str">
        <f t="shared" si="17"/>
        <v>C</v>
      </c>
      <c r="H43" s="1">
        <v>0</v>
      </c>
      <c r="I43" s="1">
        <v>1</v>
      </c>
      <c r="J43" s="8" t="s">
        <v>278</v>
      </c>
      <c r="K43" s="8">
        <v>2</v>
      </c>
      <c r="L43" s="8">
        <v>1</v>
      </c>
      <c r="M43" s="1">
        <v>2</v>
      </c>
      <c r="N43" s="8">
        <v>10.199999999999999</v>
      </c>
      <c r="O43" s="8"/>
      <c r="P43" s="1" t="s">
        <v>8</v>
      </c>
      <c r="Q43" s="3">
        <v>45665</v>
      </c>
      <c r="R43" s="3">
        <v>45666</v>
      </c>
      <c r="S43" s="3">
        <v>45656</v>
      </c>
      <c r="T43" s="3">
        <v>45657</v>
      </c>
      <c r="U43" s="1">
        <f t="shared" si="18"/>
        <v>9</v>
      </c>
      <c r="V43" s="1" t="s">
        <v>12</v>
      </c>
      <c r="W43" s="1" t="s">
        <v>12</v>
      </c>
      <c r="X43" s="1" t="s">
        <v>12</v>
      </c>
      <c r="Y43" s="1" t="s">
        <v>12</v>
      </c>
      <c r="AA43" s="3">
        <v>45677</v>
      </c>
      <c r="AE43" s="11">
        <f>AA43</f>
        <v>45677</v>
      </c>
      <c r="AF43" s="1">
        <f t="shared" si="19"/>
        <v>11</v>
      </c>
      <c r="AG43" s="1">
        <v>1</v>
      </c>
      <c r="AH43" s="5">
        <v>0.52</v>
      </c>
      <c r="AI43" s="1">
        <v>2</v>
      </c>
      <c r="AJ43" s="3">
        <v>45670</v>
      </c>
      <c r="AK43" s="5" t="s">
        <v>12</v>
      </c>
      <c r="AL43" s="5" t="s">
        <v>12</v>
      </c>
      <c r="AM43" s="1" t="s">
        <v>12</v>
      </c>
      <c r="AN43" s="3" t="s">
        <v>12</v>
      </c>
      <c r="AO43" s="1" t="s">
        <v>12</v>
      </c>
      <c r="AP43" s="5" t="s">
        <v>12</v>
      </c>
      <c r="AQ43" s="3" t="s">
        <v>12</v>
      </c>
      <c r="AR43" s="1" t="s">
        <v>12</v>
      </c>
      <c r="AS43" s="1">
        <v>8</v>
      </c>
      <c r="AT43" s="1">
        <v>22</v>
      </c>
      <c r="AU43" s="1">
        <v>31</v>
      </c>
      <c r="AV43" s="1">
        <f t="shared" si="5"/>
        <v>61</v>
      </c>
      <c r="AW43" s="1">
        <v>7</v>
      </c>
      <c r="AX43" s="1">
        <v>7</v>
      </c>
      <c r="AY43" s="1" t="s">
        <v>12</v>
      </c>
      <c r="AZ43" s="1">
        <f>AW43+AX43</f>
        <v>14</v>
      </c>
      <c r="BA43" s="1" t="s">
        <v>12</v>
      </c>
      <c r="BB43" s="1" t="s">
        <v>12</v>
      </c>
      <c r="BC43" s="1" t="s">
        <v>12</v>
      </c>
      <c r="BD43" s="1" t="s">
        <v>12</v>
      </c>
      <c r="BE43" s="1" t="s">
        <v>12</v>
      </c>
      <c r="BF43" s="1" t="s">
        <v>12</v>
      </c>
      <c r="BG43" s="1" t="s">
        <v>12</v>
      </c>
      <c r="BH43" s="1" t="s">
        <v>12</v>
      </c>
      <c r="BI43" s="1" t="s">
        <v>12</v>
      </c>
      <c r="BJ43" s="1" t="s">
        <v>12</v>
      </c>
      <c r="BK43" s="3" t="s">
        <v>12</v>
      </c>
      <c r="BL43" s="10" t="s">
        <v>12</v>
      </c>
      <c r="BM43" s="10" t="s">
        <v>12</v>
      </c>
      <c r="BN43" s="14" t="s">
        <v>12</v>
      </c>
      <c r="BO43" s="13" t="s">
        <v>12</v>
      </c>
      <c r="BP43" s="13" t="s">
        <v>12</v>
      </c>
      <c r="BQ43" s="13" t="s">
        <v>12</v>
      </c>
      <c r="BR43" s="13" t="s">
        <v>12</v>
      </c>
      <c r="BS43" s="13" t="s">
        <v>12</v>
      </c>
      <c r="BT43" s="13" t="s">
        <v>12</v>
      </c>
      <c r="BU43" s="13" t="s">
        <v>12</v>
      </c>
      <c r="BV43" s="13" t="s">
        <v>12</v>
      </c>
      <c r="BW43" s="13" t="s">
        <v>12</v>
      </c>
      <c r="BX43" s="13" t="s">
        <v>12</v>
      </c>
      <c r="BY43" s="13" t="s">
        <v>12</v>
      </c>
      <c r="BZ43" s="13" t="s">
        <v>12</v>
      </c>
      <c r="CA43" s="13" t="s">
        <v>12</v>
      </c>
      <c r="CB43" s="13" t="s">
        <v>12</v>
      </c>
      <c r="CC43" s="13" t="s">
        <v>12</v>
      </c>
      <c r="CD43" s="13"/>
      <c r="CE43" s="13" t="s">
        <v>12</v>
      </c>
      <c r="CF43" s="13" t="s">
        <v>12</v>
      </c>
      <c r="CG43" s="13" t="s">
        <v>12</v>
      </c>
      <c r="CH43" s="13" t="s">
        <v>12</v>
      </c>
      <c r="CI43" s="13" t="s">
        <v>12</v>
      </c>
      <c r="CJ43" s="13" t="s">
        <v>12</v>
      </c>
      <c r="CK43" s="13" t="s">
        <v>12</v>
      </c>
      <c r="CL43" s="13" t="s">
        <v>12</v>
      </c>
      <c r="CM43" s="13" t="s">
        <v>12</v>
      </c>
      <c r="CN43" s="13" t="s">
        <v>12</v>
      </c>
      <c r="CO43" s="13" t="s">
        <v>12</v>
      </c>
    </row>
    <row r="44" spans="1:99" x14ac:dyDescent="0.25">
      <c r="A44" s="1">
        <v>44</v>
      </c>
      <c r="B44" s="1">
        <v>42</v>
      </c>
      <c r="C44" s="2" t="s">
        <v>67</v>
      </c>
      <c r="D44" s="3" t="s">
        <v>10</v>
      </c>
      <c r="E44" s="1" t="str">
        <f>D44</f>
        <v>m</v>
      </c>
      <c r="F44" s="1" t="str">
        <f t="shared" si="16"/>
        <v>C</v>
      </c>
      <c r="G44" s="1" t="str">
        <f t="shared" si="17"/>
        <v>A</v>
      </c>
      <c r="H44" s="1">
        <v>0</v>
      </c>
      <c r="I44" s="1">
        <v>0</v>
      </c>
      <c r="J44" s="8" t="s">
        <v>278</v>
      </c>
      <c r="K44" s="8">
        <v>2</v>
      </c>
      <c r="L44" s="8">
        <v>1</v>
      </c>
      <c r="M44" s="1">
        <v>1</v>
      </c>
      <c r="N44" s="8">
        <v>10.199999999999999</v>
      </c>
      <c r="O44" s="8">
        <v>1</v>
      </c>
      <c r="P44" s="1" t="s">
        <v>8</v>
      </c>
      <c r="Q44" s="3">
        <v>45665</v>
      </c>
      <c r="R44" s="3">
        <v>45666</v>
      </c>
      <c r="S44" s="3">
        <v>45656</v>
      </c>
      <c r="T44" s="3">
        <v>45657</v>
      </c>
      <c r="U44" s="1">
        <f t="shared" si="18"/>
        <v>9</v>
      </c>
      <c r="V44" s="3">
        <v>45683</v>
      </c>
      <c r="W44" s="1">
        <f>_xlfn.DAYS(V44,R44)</f>
        <v>17</v>
      </c>
      <c r="X44" s="3">
        <v>45688</v>
      </c>
      <c r="Y44" s="1">
        <f>_xlfn.DAYS(X44,R44)</f>
        <v>22</v>
      </c>
      <c r="Z44" s="1">
        <f>_xlfn.DAYS(BK44,X44)</f>
        <v>8</v>
      </c>
      <c r="AB44" s="3">
        <v>45698</v>
      </c>
      <c r="AD44" s="11" t="s">
        <v>86</v>
      </c>
      <c r="AE44" s="11">
        <v>45697</v>
      </c>
      <c r="AF44" s="1">
        <f t="shared" si="19"/>
        <v>31</v>
      </c>
      <c r="AG44" s="8">
        <v>0</v>
      </c>
      <c r="AH44" s="5">
        <v>0.627</v>
      </c>
      <c r="AI44" s="1">
        <v>2</v>
      </c>
      <c r="AJ44" s="3">
        <v>45670</v>
      </c>
      <c r="AK44" s="5">
        <f>AL44-AH44</f>
        <v>5.9480000000000004</v>
      </c>
      <c r="AL44" s="5">
        <v>6.5750000000000002</v>
      </c>
      <c r="AM44" s="1">
        <v>2</v>
      </c>
      <c r="AN44" s="3">
        <f>V44+1</f>
        <v>45684</v>
      </c>
      <c r="AO44" s="1">
        <v>6.2320000000000002</v>
      </c>
      <c r="AP44" s="8">
        <v>2</v>
      </c>
      <c r="AQ44" s="3">
        <f>X44+1</f>
        <v>45689</v>
      </c>
      <c r="AR44" s="5">
        <f>AO44-AH44</f>
        <v>5.6050000000000004</v>
      </c>
      <c r="AS44" s="1">
        <v>12</v>
      </c>
      <c r="AT44" s="1">
        <v>13</v>
      </c>
      <c r="AU44" s="1">
        <v>40</v>
      </c>
      <c r="AV44" s="1">
        <f t="shared" si="5"/>
        <v>65</v>
      </c>
      <c r="AW44" s="1">
        <v>29</v>
      </c>
      <c r="AX44" s="1">
        <v>215</v>
      </c>
      <c r="AY44" s="1">
        <v>230</v>
      </c>
      <c r="AZ44" s="1">
        <f t="shared" ref="AZ44:AZ52" si="20">SUM(AW44+AX44+AY44)</f>
        <v>474</v>
      </c>
      <c r="BA44" s="1">
        <v>30</v>
      </c>
      <c r="BB44" s="1">
        <v>0</v>
      </c>
      <c r="BC44" s="1">
        <v>0</v>
      </c>
      <c r="BD44" s="8" t="s">
        <v>12</v>
      </c>
      <c r="BE44" s="8" t="s">
        <v>12</v>
      </c>
      <c r="BF44" s="1" t="s">
        <v>12</v>
      </c>
      <c r="BG44" s="1" t="s">
        <v>12</v>
      </c>
      <c r="BH44" s="1" t="s">
        <v>12</v>
      </c>
      <c r="BI44" s="1">
        <f>BA44+BB44+BC44</f>
        <v>30</v>
      </c>
      <c r="BJ44" s="1">
        <f t="shared" ref="BJ44:BJ52" si="21">AV44+AZ44+BI44</f>
        <v>569</v>
      </c>
      <c r="BK44" s="3">
        <v>45696</v>
      </c>
      <c r="BL44" s="6" t="s">
        <v>68</v>
      </c>
      <c r="BM44" s="6"/>
      <c r="BN44" s="6" t="s">
        <v>203</v>
      </c>
      <c r="BO44" s="13">
        <v>54.12</v>
      </c>
      <c r="BP44" s="13">
        <v>5.48</v>
      </c>
      <c r="BQ44" s="1">
        <v>2</v>
      </c>
      <c r="BR44" s="1">
        <v>0</v>
      </c>
      <c r="BS44" s="1">
        <f>BQ44+BR44</f>
        <v>2</v>
      </c>
      <c r="BT44" s="1">
        <v>16</v>
      </c>
      <c r="BU44" s="1">
        <v>0</v>
      </c>
      <c r="BV44" s="1">
        <f>BT44+BU44</f>
        <v>16</v>
      </c>
      <c r="BW44" s="1">
        <v>9</v>
      </c>
      <c r="BX44" s="1">
        <v>0</v>
      </c>
      <c r="BY44" s="1">
        <f>BW44+BX44</f>
        <v>9</v>
      </c>
      <c r="BZ44" s="1">
        <v>12</v>
      </c>
      <c r="CA44" s="1">
        <v>0</v>
      </c>
      <c r="CB44" s="1">
        <f>BZ44+CA44</f>
        <v>12</v>
      </c>
      <c r="CC44" s="1">
        <f>BS44+BV44+BY44+CB44</f>
        <v>39</v>
      </c>
      <c r="CE44" s="7">
        <f>CC44+CD44</f>
        <v>39</v>
      </c>
      <c r="CF44" s="8">
        <v>2</v>
      </c>
      <c r="CG44" s="8">
        <v>7</v>
      </c>
      <c r="CH44" s="8">
        <v>10</v>
      </c>
      <c r="CI44" s="8">
        <v>14</v>
      </c>
      <c r="CJ44" s="8">
        <v>5</v>
      </c>
      <c r="CK44" s="8">
        <v>0</v>
      </c>
      <c r="CL44" s="8">
        <v>0</v>
      </c>
      <c r="CM44" s="8">
        <v>0</v>
      </c>
      <c r="CN44" s="1">
        <f>CF44+CG44+CH44+CI44+CJ44+CK44+CL44+CM44</f>
        <v>38</v>
      </c>
      <c r="CO44" s="1">
        <f>CN44/CE44</f>
        <v>0.97435897435897434</v>
      </c>
      <c r="CP44" s="8">
        <v>4.47</v>
      </c>
      <c r="CQ44" s="8">
        <v>5</v>
      </c>
      <c r="CR44" s="1">
        <f>CP44/CQ44</f>
        <v>0.89399999999999991</v>
      </c>
      <c r="CS44" s="1">
        <v>4.2519999999999998</v>
      </c>
      <c r="CT44" s="8">
        <v>4</v>
      </c>
      <c r="CU44" s="1">
        <f>CS44/CT44</f>
        <v>1.0629999999999999</v>
      </c>
    </row>
    <row r="45" spans="1:99" x14ac:dyDescent="0.25">
      <c r="A45" s="1">
        <v>45</v>
      </c>
      <c r="B45" s="1">
        <v>43</v>
      </c>
      <c r="C45" s="2" t="s">
        <v>69</v>
      </c>
      <c r="D45" s="1" t="s">
        <v>280</v>
      </c>
      <c r="E45" s="1" t="s">
        <v>12</v>
      </c>
      <c r="F45" s="1" t="str">
        <f t="shared" si="16"/>
        <v>A</v>
      </c>
      <c r="G45" s="1" t="str">
        <f t="shared" si="17"/>
        <v>B</v>
      </c>
      <c r="H45" s="1">
        <v>1</v>
      </c>
      <c r="I45" s="1">
        <v>0</v>
      </c>
      <c r="J45" s="8" t="s">
        <v>278</v>
      </c>
      <c r="K45" s="8">
        <v>2</v>
      </c>
      <c r="L45" s="8">
        <v>1</v>
      </c>
      <c r="M45" s="8">
        <v>0</v>
      </c>
      <c r="N45" s="8">
        <v>10.199999999999999</v>
      </c>
      <c r="O45" s="8"/>
      <c r="P45" s="1" t="s">
        <v>8</v>
      </c>
      <c r="Q45" s="3">
        <v>45665</v>
      </c>
      <c r="R45" s="3">
        <v>45666</v>
      </c>
      <c r="S45" s="3">
        <v>45656</v>
      </c>
      <c r="T45" s="3">
        <v>45657</v>
      </c>
      <c r="U45" s="1">
        <f t="shared" si="18"/>
        <v>9</v>
      </c>
      <c r="V45" s="3">
        <v>45685</v>
      </c>
      <c r="W45" s="1">
        <f>_xlfn.DAYS(V45,R45)</f>
        <v>19</v>
      </c>
      <c r="X45" s="1" t="s">
        <v>12</v>
      </c>
      <c r="Y45" s="1" t="s">
        <v>12</v>
      </c>
      <c r="AA45" s="3">
        <v>45691</v>
      </c>
      <c r="AD45" s="11"/>
      <c r="AE45" s="11">
        <f>AA45</f>
        <v>45691</v>
      </c>
      <c r="AF45" s="1">
        <f t="shared" si="19"/>
        <v>25</v>
      </c>
      <c r="AG45" s="1">
        <v>1</v>
      </c>
      <c r="AH45" s="5">
        <v>0.57799999999999996</v>
      </c>
      <c r="AI45" s="1">
        <v>2</v>
      </c>
      <c r="AJ45" s="3">
        <v>45670</v>
      </c>
      <c r="AK45" s="5">
        <f>AL45-AH45</f>
        <v>9.2090000000000014</v>
      </c>
      <c r="AL45" s="5">
        <v>9.7870000000000008</v>
      </c>
      <c r="AM45" s="1">
        <v>1</v>
      </c>
      <c r="AN45" s="3">
        <f>V45+1</f>
        <v>45686</v>
      </c>
      <c r="AO45" s="1" t="s">
        <v>12</v>
      </c>
      <c r="AP45" s="5" t="s">
        <v>12</v>
      </c>
      <c r="AQ45" s="3" t="s">
        <v>12</v>
      </c>
      <c r="AR45" s="1" t="s">
        <v>12</v>
      </c>
      <c r="AS45" s="1">
        <v>11</v>
      </c>
      <c r="AT45" s="1">
        <v>24</v>
      </c>
      <c r="AU45" s="1">
        <v>53</v>
      </c>
      <c r="AV45" s="1">
        <f t="shared" si="5"/>
        <v>88</v>
      </c>
      <c r="AW45" s="1">
        <v>30</v>
      </c>
      <c r="AX45" s="1">
        <v>127</v>
      </c>
      <c r="AY45" s="1">
        <v>318</v>
      </c>
      <c r="AZ45" s="1">
        <f t="shared" si="20"/>
        <v>475</v>
      </c>
      <c r="BA45" s="1">
        <v>265</v>
      </c>
      <c r="BB45" s="1">
        <v>15</v>
      </c>
      <c r="BC45" s="1">
        <v>0</v>
      </c>
      <c r="BD45" s="1">
        <v>0</v>
      </c>
      <c r="BE45" s="8" t="s">
        <v>12</v>
      </c>
      <c r="BF45" s="1" t="s">
        <v>12</v>
      </c>
      <c r="BG45" s="1" t="s">
        <v>12</v>
      </c>
      <c r="BH45" s="1" t="s">
        <v>12</v>
      </c>
      <c r="BI45" s="1">
        <f>BA45+BB45+BC45+BD45</f>
        <v>280</v>
      </c>
      <c r="BJ45" s="1">
        <f t="shared" si="21"/>
        <v>843</v>
      </c>
      <c r="BK45" s="3" t="s">
        <v>12</v>
      </c>
      <c r="BL45" s="10" t="s">
        <v>12</v>
      </c>
      <c r="BM45" s="10" t="s">
        <v>12</v>
      </c>
      <c r="BN45" s="14" t="s">
        <v>12</v>
      </c>
      <c r="BO45" s="13" t="s">
        <v>12</v>
      </c>
      <c r="BP45" s="13" t="s">
        <v>12</v>
      </c>
      <c r="BQ45" s="13" t="s">
        <v>12</v>
      </c>
      <c r="BR45" s="13" t="s">
        <v>12</v>
      </c>
      <c r="BS45" s="13" t="s">
        <v>12</v>
      </c>
      <c r="BT45" s="13" t="s">
        <v>12</v>
      </c>
      <c r="BU45" s="13" t="s">
        <v>12</v>
      </c>
      <c r="BV45" s="13" t="s">
        <v>12</v>
      </c>
      <c r="BW45" s="13" t="s">
        <v>12</v>
      </c>
      <c r="BX45" s="13" t="s">
        <v>12</v>
      </c>
      <c r="BY45" s="13" t="s">
        <v>12</v>
      </c>
      <c r="BZ45" s="13" t="s">
        <v>12</v>
      </c>
      <c r="CA45" s="13" t="s">
        <v>12</v>
      </c>
      <c r="CB45" s="13" t="s">
        <v>12</v>
      </c>
      <c r="CC45" s="13" t="s">
        <v>12</v>
      </c>
      <c r="CD45" s="13"/>
      <c r="CE45" s="13" t="s">
        <v>12</v>
      </c>
      <c r="CF45" s="13" t="s">
        <v>12</v>
      </c>
      <c r="CG45" s="13" t="s">
        <v>12</v>
      </c>
      <c r="CH45" s="13" t="s">
        <v>12</v>
      </c>
      <c r="CI45" s="13" t="s">
        <v>12</v>
      </c>
      <c r="CJ45" s="13" t="s">
        <v>12</v>
      </c>
      <c r="CK45" s="13" t="s">
        <v>12</v>
      </c>
      <c r="CL45" s="13" t="s">
        <v>12</v>
      </c>
      <c r="CM45" s="13" t="s">
        <v>12</v>
      </c>
      <c r="CN45" s="13" t="s">
        <v>12</v>
      </c>
      <c r="CO45" s="13" t="s">
        <v>12</v>
      </c>
    </row>
    <row r="46" spans="1:99" x14ac:dyDescent="0.25">
      <c r="A46" s="1">
        <v>46</v>
      </c>
      <c r="B46" s="1">
        <v>44</v>
      </c>
      <c r="C46" s="2" t="s">
        <v>70</v>
      </c>
      <c r="D46" s="3" t="s">
        <v>10</v>
      </c>
      <c r="E46" s="1" t="str">
        <f>D46</f>
        <v>m</v>
      </c>
      <c r="F46" s="1" t="str">
        <f t="shared" si="16"/>
        <v>C</v>
      </c>
      <c r="G46" s="1" t="str">
        <f t="shared" si="17"/>
        <v>A</v>
      </c>
      <c r="H46" s="1">
        <v>0</v>
      </c>
      <c r="I46" s="1">
        <v>0</v>
      </c>
      <c r="J46" s="8" t="s">
        <v>278</v>
      </c>
      <c r="K46" s="8">
        <v>2</v>
      </c>
      <c r="L46" s="8">
        <v>1</v>
      </c>
      <c r="M46" s="8">
        <v>0</v>
      </c>
      <c r="N46" s="8">
        <v>11.2</v>
      </c>
      <c r="O46" s="8">
        <v>1</v>
      </c>
      <c r="P46" s="1" t="s">
        <v>8</v>
      </c>
      <c r="Q46" s="3">
        <v>45665</v>
      </c>
      <c r="R46" s="3">
        <v>45666</v>
      </c>
      <c r="S46" s="3">
        <v>45656</v>
      </c>
      <c r="T46" s="3">
        <v>45657</v>
      </c>
      <c r="U46" s="1">
        <f t="shared" si="18"/>
        <v>9</v>
      </c>
      <c r="V46" s="3">
        <v>45683</v>
      </c>
      <c r="W46" s="1">
        <f>_xlfn.DAYS(V46,R46)</f>
        <v>17</v>
      </c>
      <c r="X46" s="3">
        <v>45689</v>
      </c>
      <c r="Y46" s="1">
        <f>_xlfn.DAYS(X46,R46)</f>
        <v>23</v>
      </c>
      <c r="Z46" s="1">
        <f>_xlfn.DAYS(BK46,X46)</f>
        <v>7</v>
      </c>
      <c r="AB46" s="3">
        <v>45698</v>
      </c>
      <c r="AD46" s="11" t="s">
        <v>86</v>
      </c>
      <c r="AE46" s="11">
        <v>45697</v>
      </c>
      <c r="AF46" s="1">
        <f t="shared" si="19"/>
        <v>31</v>
      </c>
      <c r="AG46" s="8">
        <v>0</v>
      </c>
      <c r="AH46" s="5">
        <v>0.83799999999999997</v>
      </c>
      <c r="AI46" s="1">
        <v>2</v>
      </c>
      <c r="AJ46" s="3">
        <v>45670</v>
      </c>
      <c r="AK46" s="5">
        <f>AL46-AH46</f>
        <v>6.984</v>
      </c>
      <c r="AL46" s="5">
        <v>7.8220000000000001</v>
      </c>
      <c r="AM46" s="1">
        <v>2</v>
      </c>
      <c r="AN46" s="3">
        <f>V46+1</f>
        <v>45684</v>
      </c>
      <c r="AO46" s="1">
        <v>7.242</v>
      </c>
      <c r="AP46" s="8">
        <v>2</v>
      </c>
      <c r="AQ46" s="3">
        <f>X46+1</f>
        <v>45690</v>
      </c>
      <c r="AR46" s="5">
        <f>AO46-AH46</f>
        <v>6.4039999999999999</v>
      </c>
      <c r="AS46" s="1">
        <v>10</v>
      </c>
      <c r="AT46" s="1">
        <v>16</v>
      </c>
      <c r="AU46" s="1">
        <v>41</v>
      </c>
      <c r="AV46" s="1">
        <f t="shared" si="5"/>
        <v>67</v>
      </c>
      <c r="AW46" s="1">
        <v>63</v>
      </c>
      <c r="AX46" s="1">
        <v>240</v>
      </c>
      <c r="AY46" s="1">
        <v>308</v>
      </c>
      <c r="AZ46" s="1">
        <f t="shared" si="20"/>
        <v>611</v>
      </c>
      <c r="BA46" s="1">
        <v>92</v>
      </c>
      <c r="BB46" s="1">
        <v>0</v>
      </c>
      <c r="BC46" s="1">
        <v>0</v>
      </c>
      <c r="BD46" s="8" t="s">
        <v>12</v>
      </c>
      <c r="BE46" s="8" t="s">
        <v>12</v>
      </c>
      <c r="BF46" s="1" t="s">
        <v>12</v>
      </c>
      <c r="BG46" s="1" t="s">
        <v>12</v>
      </c>
      <c r="BH46" s="1" t="s">
        <v>12</v>
      </c>
      <c r="BI46" s="1">
        <f>BA46+BB46+BC46</f>
        <v>92</v>
      </c>
      <c r="BJ46" s="1">
        <f t="shared" si="21"/>
        <v>770</v>
      </c>
      <c r="BK46" s="3">
        <v>45696</v>
      </c>
      <c r="BL46" s="6" t="s">
        <v>71</v>
      </c>
      <c r="BM46" s="6"/>
      <c r="BN46" s="6" t="s">
        <v>204</v>
      </c>
      <c r="BO46" s="13">
        <v>49.33</v>
      </c>
      <c r="BP46" s="13">
        <v>10.27</v>
      </c>
      <c r="BQ46" s="1">
        <v>11</v>
      </c>
      <c r="BR46" s="1">
        <v>0</v>
      </c>
      <c r="BS46" s="1">
        <f>BQ46+BR46</f>
        <v>11</v>
      </c>
      <c r="BT46" s="1">
        <v>12</v>
      </c>
      <c r="BU46" s="1">
        <v>0</v>
      </c>
      <c r="BV46" s="1">
        <f>BT46+BU46</f>
        <v>12</v>
      </c>
      <c r="BW46" s="1">
        <v>11</v>
      </c>
      <c r="BX46" s="1">
        <v>0</v>
      </c>
      <c r="BY46" s="1">
        <f>BW46+BX46</f>
        <v>11</v>
      </c>
      <c r="BZ46" s="1">
        <v>11</v>
      </c>
      <c r="CA46" s="1">
        <v>0</v>
      </c>
      <c r="CB46" s="1">
        <f>BZ46+CA46</f>
        <v>11</v>
      </c>
      <c r="CC46" s="1">
        <f>BS46+BV46+BY46+CB46</f>
        <v>45</v>
      </c>
      <c r="CE46" s="7">
        <f>CC46+CD46</f>
        <v>45</v>
      </c>
      <c r="CF46" s="1">
        <v>3</v>
      </c>
      <c r="CG46" s="1">
        <v>8</v>
      </c>
      <c r="CH46" s="1">
        <v>15</v>
      </c>
      <c r="CI46" s="1">
        <v>13</v>
      </c>
      <c r="CJ46" s="1">
        <v>4</v>
      </c>
      <c r="CK46" s="1">
        <v>0</v>
      </c>
      <c r="CL46" s="1">
        <v>0</v>
      </c>
      <c r="CM46" s="1">
        <v>0</v>
      </c>
      <c r="CN46" s="1">
        <f>CF46+CG46+CH46+CI46+CJ46+CK46+CL46+CM46</f>
        <v>43</v>
      </c>
      <c r="CO46" s="1">
        <f>CN46/CE46</f>
        <v>0.9555555555555556</v>
      </c>
      <c r="CP46" s="8">
        <v>3.3250000000000002</v>
      </c>
      <c r="CQ46" s="8">
        <v>5</v>
      </c>
      <c r="CR46" s="1">
        <f>CP46/CQ46</f>
        <v>0.66500000000000004</v>
      </c>
      <c r="CS46" s="1">
        <v>2.0430000000000001</v>
      </c>
      <c r="CT46" s="8">
        <v>4</v>
      </c>
      <c r="CU46" s="1">
        <f>CS46/CT46</f>
        <v>0.51075000000000004</v>
      </c>
    </row>
    <row r="47" spans="1:99" x14ac:dyDescent="0.25">
      <c r="A47" s="1">
        <v>47</v>
      </c>
      <c r="B47" s="1">
        <v>45</v>
      </c>
      <c r="C47" s="2" t="s">
        <v>37</v>
      </c>
      <c r="D47" s="3" t="s">
        <v>10</v>
      </c>
      <c r="E47" s="1" t="str">
        <f>D47</f>
        <v>m</v>
      </c>
      <c r="F47" s="1" t="str">
        <f t="shared" si="16"/>
        <v>A</v>
      </c>
      <c r="G47" s="1" t="str">
        <f t="shared" si="17"/>
        <v>B</v>
      </c>
      <c r="H47" s="1">
        <v>1</v>
      </c>
      <c r="I47" s="1">
        <v>0</v>
      </c>
      <c r="J47" s="8" t="s">
        <v>278</v>
      </c>
      <c r="K47" s="8">
        <v>2</v>
      </c>
      <c r="L47" s="8">
        <v>1</v>
      </c>
      <c r="M47" s="8">
        <v>1</v>
      </c>
      <c r="N47" s="8">
        <v>11.2</v>
      </c>
      <c r="O47" s="8">
        <v>1</v>
      </c>
      <c r="P47" s="1" t="s">
        <v>8</v>
      </c>
      <c r="Q47" s="3">
        <v>45665</v>
      </c>
      <c r="R47" s="3">
        <v>45666</v>
      </c>
      <c r="S47" s="3">
        <v>45656</v>
      </c>
      <c r="T47" s="3">
        <v>45657</v>
      </c>
      <c r="U47" s="1">
        <f t="shared" si="18"/>
        <v>9</v>
      </c>
      <c r="V47" s="3">
        <v>45683</v>
      </c>
      <c r="W47" s="1">
        <f>_xlfn.DAYS(V47,R47)</f>
        <v>17</v>
      </c>
      <c r="X47" s="3">
        <v>45688</v>
      </c>
      <c r="Y47" s="1">
        <f>_xlfn.DAYS(X47,R47)</f>
        <v>22</v>
      </c>
      <c r="Z47" s="1">
        <f>_xlfn.DAYS(BK47,X47)</f>
        <v>7</v>
      </c>
      <c r="AB47" s="3">
        <v>45697</v>
      </c>
      <c r="AD47" s="11" t="s">
        <v>86</v>
      </c>
      <c r="AE47" s="11">
        <v>45697</v>
      </c>
      <c r="AF47" s="1">
        <f t="shared" si="19"/>
        <v>31</v>
      </c>
      <c r="AG47" s="8">
        <v>0</v>
      </c>
      <c r="AH47" s="5">
        <v>0.999</v>
      </c>
      <c r="AI47" s="1">
        <v>2</v>
      </c>
      <c r="AJ47" s="3">
        <v>45670</v>
      </c>
      <c r="AK47" s="5">
        <f>AL47-AH47</f>
        <v>5.7070000000000007</v>
      </c>
      <c r="AL47" s="5">
        <v>6.7060000000000004</v>
      </c>
      <c r="AM47" s="1">
        <v>2</v>
      </c>
      <c r="AN47" s="3">
        <f>V47+1</f>
        <v>45684</v>
      </c>
      <c r="AO47" s="1">
        <v>6.0049999999999999</v>
      </c>
      <c r="AP47" s="8">
        <v>2</v>
      </c>
      <c r="AQ47" s="3">
        <f>X47+1</f>
        <v>45689</v>
      </c>
      <c r="AR47" s="5">
        <f>AO47-AH47</f>
        <v>5.0060000000000002</v>
      </c>
      <c r="AS47" s="1">
        <v>12</v>
      </c>
      <c r="AT47" s="1">
        <v>37</v>
      </c>
      <c r="AU47" s="1">
        <v>67</v>
      </c>
      <c r="AV47" s="1">
        <f t="shared" si="5"/>
        <v>116</v>
      </c>
      <c r="AW47" s="1">
        <v>55</v>
      </c>
      <c r="AX47" s="1">
        <v>207</v>
      </c>
      <c r="AY47" s="1">
        <v>397</v>
      </c>
      <c r="AZ47" s="1">
        <f t="shared" si="20"/>
        <v>659</v>
      </c>
      <c r="BA47" s="1">
        <v>46</v>
      </c>
      <c r="BB47" s="1">
        <v>0</v>
      </c>
      <c r="BC47" s="1">
        <v>0</v>
      </c>
      <c r="BD47" s="8" t="s">
        <v>12</v>
      </c>
      <c r="BE47" s="8" t="s">
        <v>12</v>
      </c>
      <c r="BF47" s="1" t="s">
        <v>12</v>
      </c>
      <c r="BG47" s="1" t="s">
        <v>12</v>
      </c>
      <c r="BH47" s="1" t="s">
        <v>12</v>
      </c>
      <c r="BI47" s="1">
        <f>BA47+BB47+BC47</f>
        <v>46</v>
      </c>
      <c r="BJ47" s="1">
        <f t="shared" si="21"/>
        <v>821</v>
      </c>
      <c r="BK47" s="3">
        <v>45695</v>
      </c>
      <c r="BL47" s="6" t="s">
        <v>36</v>
      </c>
      <c r="BM47" s="6"/>
      <c r="BN47" s="6" t="s">
        <v>192</v>
      </c>
      <c r="BO47" s="13">
        <v>0</v>
      </c>
      <c r="BP47" s="13">
        <v>60</v>
      </c>
      <c r="BQ47" s="1">
        <v>3</v>
      </c>
      <c r="BR47" s="1">
        <v>7</v>
      </c>
      <c r="BS47" s="1">
        <f>BQ47+BR47</f>
        <v>10</v>
      </c>
      <c r="BT47" s="1">
        <v>11</v>
      </c>
      <c r="BU47" s="1">
        <v>0</v>
      </c>
      <c r="BV47" s="1">
        <f>BT47+BU47</f>
        <v>11</v>
      </c>
      <c r="BW47" s="1">
        <v>11</v>
      </c>
      <c r="BX47" s="1">
        <v>0</v>
      </c>
      <c r="BY47" s="1">
        <f>BW47+BX47</f>
        <v>11</v>
      </c>
      <c r="BZ47" s="1">
        <v>10</v>
      </c>
      <c r="CA47" s="1">
        <v>0</v>
      </c>
      <c r="CB47" s="1">
        <f>BZ47+CA47</f>
        <v>10</v>
      </c>
      <c r="CC47" s="1">
        <f>BS47+BV47+BY47+CB47</f>
        <v>42</v>
      </c>
      <c r="CE47" s="7">
        <f>CC47+CD47</f>
        <v>42</v>
      </c>
      <c r="CF47" s="1">
        <v>6</v>
      </c>
      <c r="CG47" s="1">
        <v>9</v>
      </c>
      <c r="CH47" s="1">
        <v>8</v>
      </c>
      <c r="CI47" s="1">
        <v>12</v>
      </c>
      <c r="CJ47" s="1">
        <v>3</v>
      </c>
      <c r="CK47" s="1">
        <v>1</v>
      </c>
      <c r="CL47" s="1">
        <v>0</v>
      </c>
      <c r="CM47" s="1">
        <v>0</v>
      </c>
      <c r="CN47" s="1">
        <f>CF47+CG47+CH47+CI47+CJ47+CK47+CL47+CM47</f>
        <v>39</v>
      </c>
      <c r="CO47" s="1">
        <f>CN47/CE47</f>
        <v>0.9285714285714286</v>
      </c>
      <c r="CP47" s="8">
        <v>4.9509999999999996</v>
      </c>
      <c r="CQ47" s="8">
        <v>5</v>
      </c>
      <c r="CR47" s="1">
        <f>CP47/CQ47</f>
        <v>0.99019999999999997</v>
      </c>
      <c r="CS47" s="1">
        <v>1.5029999999999999</v>
      </c>
      <c r="CT47" s="8">
        <v>2</v>
      </c>
      <c r="CU47" s="1">
        <f>CS47/CT47</f>
        <v>0.75149999999999995</v>
      </c>
    </row>
    <row r="48" spans="1:99" x14ac:dyDescent="0.25">
      <c r="A48" s="1">
        <v>48</v>
      </c>
      <c r="B48" s="1">
        <v>46</v>
      </c>
      <c r="C48" s="2" t="s">
        <v>72</v>
      </c>
      <c r="D48" s="1" t="s">
        <v>280</v>
      </c>
      <c r="E48" s="1" t="s">
        <v>12</v>
      </c>
      <c r="F48" s="1" t="str">
        <f t="shared" si="16"/>
        <v>I</v>
      </c>
      <c r="G48" s="1" t="str">
        <f t="shared" si="17"/>
        <v>C</v>
      </c>
      <c r="H48" s="1">
        <v>0</v>
      </c>
      <c r="I48" s="1">
        <v>1</v>
      </c>
      <c r="J48" s="8" t="s">
        <v>278</v>
      </c>
      <c r="K48" s="8">
        <v>2</v>
      </c>
      <c r="L48" s="8">
        <v>1</v>
      </c>
      <c r="M48" s="8">
        <v>2</v>
      </c>
      <c r="N48" s="8">
        <v>11.2</v>
      </c>
      <c r="O48" s="8"/>
      <c r="P48" s="1" t="s">
        <v>8</v>
      </c>
      <c r="Q48" s="3">
        <v>45665</v>
      </c>
      <c r="R48" s="3">
        <v>45666</v>
      </c>
      <c r="S48" s="3">
        <v>45656</v>
      </c>
      <c r="T48" s="3">
        <v>45657</v>
      </c>
      <c r="U48" s="1">
        <f t="shared" si="18"/>
        <v>9</v>
      </c>
      <c r="V48" s="1" t="s">
        <v>12</v>
      </c>
      <c r="W48" s="1" t="s">
        <v>12</v>
      </c>
      <c r="X48" s="1" t="s">
        <v>12</v>
      </c>
      <c r="Y48" s="1" t="s">
        <v>12</v>
      </c>
      <c r="AA48" s="3">
        <v>45681</v>
      </c>
      <c r="AE48" s="11">
        <f>AA48</f>
        <v>45681</v>
      </c>
      <c r="AF48" s="1">
        <f t="shared" si="19"/>
        <v>15</v>
      </c>
      <c r="AG48" s="1">
        <v>1</v>
      </c>
      <c r="AH48" s="5">
        <v>0.51700000000000002</v>
      </c>
      <c r="AI48" s="1">
        <v>2</v>
      </c>
      <c r="AJ48" s="3">
        <v>45670</v>
      </c>
      <c r="AK48" s="5" t="s">
        <v>12</v>
      </c>
      <c r="AL48" s="5" t="s">
        <v>12</v>
      </c>
      <c r="AM48" s="1" t="s">
        <v>12</v>
      </c>
      <c r="AN48" s="3" t="s">
        <v>12</v>
      </c>
      <c r="AO48" s="1" t="s">
        <v>12</v>
      </c>
      <c r="AP48" s="5" t="s">
        <v>12</v>
      </c>
      <c r="AQ48" s="3" t="s">
        <v>12</v>
      </c>
      <c r="AR48" s="1" t="s">
        <v>12</v>
      </c>
      <c r="AS48" s="1">
        <v>6</v>
      </c>
      <c r="AT48" s="1">
        <v>13</v>
      </c>
      <c r="AU48" s="1">
        <v>5</v>
      </c>
      <c r="AV48" s="1">
        <f t="shared" si="5"/>
        <v>24</v>
      </c>
      <c r="AW48" s="1">
        <v>14</v>
      </c>
      <c r="AX48" s="1">
        <v>13</v>
      </c>
      <c r="AY48" s="1">
        <v>17</v>
      </c>
      <c r="AZ48" s="1">
        <f t="shared" si="20"/>
        <v>44</v>
      </c>
      <c r="BA48" s="1">
        <v>3</v>
      </c>
      <c r="BB48" s="1">
        <v>0</v>
      </c>
      <c r="BC48" s="1" t="s">
        <v>12</v>
      </c>
      <c r="BD48" s="1" t="s">
        <v>12</v>
      </c>
      <c r="BE48" s="1" t="s">
        <v>12</v>
      </c>
      <c r="BF48" s="1" t="s">
        <v>12</v>
      </c>
      <c r="BG48" s="1" t="s">
        <v>12</v>
      </c>
      <c r="BH48" s="1" t="s">
        <v>12</v>
      </c>
      <c r="BI48" s="1">
        <f>BA48+BB48</f>
        <v>3</v>
      </c>
      <c r="BJ48" s="1">
        <f t="shared" si="21"/>
        <v>71</v>
      </c>
      <c r="BK48" s="3" t="s">
        <v>12</v>
      </c>
      <c r="BL48" s="10" t="s">
        <v>12</v>
      </c>
      <c r="BM48" s="10" t="s">
        <v>12</v>
      </c>
      <c r="BN48" s="14" t="s">
        <v>12</v>
      </c>
      <c r="BO48" s="13" t="s">
        <v>12</v>
      </c>
      <c r="BP48" s="13" t="s">
        <v>12</v>
      </c>
      <c r="BQ48" s="13" t="s">
        <v>12</v>
      </c>
      <c r="BR48" s="13" t="s">
        <v>12</v>
      </c>
      <c r="BS48" s="13" t="s">
        <v>12</v>
      </c>
      <c r="BT48" s="13" t="s">
        <v>12</v>
      </c>
      <c r="BU48" s="13" t="s">
        <v>12</v>
      </c>
      <c r="BV48" s="13" t="s">
        <v>12</v>
      </c>
      <c r="BW48" s="13" t="s">
        <v>12</v>
      </c>
      <c r="BX48" s="13" t="s">
        <v>12</v>
      </c>
      <c r="BY48" s="13" t="s">
        <v>12</v>
      </c>
      <c r="BZ48" s="13" t="s">
        <v>12</v>
      </c>
      <c r="CA48" s="13" t="s">
        <v>12</v>
      </c>
      <c r="CB48" s="13" t="s">
        <v>12</v>
      </c>
      <c r="CC48" s="13" t="s">
        <v>12</v>
      </c>
      <c r="CD48" s="13"/>
      <c r="CE48" s="13" t="s">
        <v>12</v>
      </c>
      <c r="CF48" s="13" t="s">
        <v>12</v>
      </c>
      <c r="CG48" s="13" t="s">
        <v>12</v>
      </c>
      <c r="CH48" s="13" t="s">
        <v>12</v>
      </c>
      <c r="CI48" s="13" t="s">
        <v>12</v>
      </c>
      <c r="CJ48" s="13" t="s">
        <v>12</v>
      </c>
      <c r="CK48" s="13" t="s">
        <v>12</v>
      </c>
      <c r="CL48" s="13" t="s">
        <v>12</v>
      </c>
      <c r="CM48" s="13" t="s">
        <v>12</v>
      </c>
      <c r="CN48" s="13" t="s">
        <v>12</v>
      </c>
      <c r="CO48" s="13" t="s">
        <v>12</v>
      </c>
    </row>
    <row r="49" spans="1:99" x14ac:dyDescent="0.25">
      <c r="A49" s="1">
        <v>49</v>
      </c>
      <c r="B49" s="1">
        <v>47</v>
      </c>
      <c r="C49" s="2" t="s">
        <v>51</v>
      </c>
      <c r="D49" s="3" t="s">
        <v>10</v>
      </c>
      <c r="E49" s="1" t="str">
        <f>D49</f>
        <v>m</v>
      </c>
      <c r="F49" s="1" t="str">
        <f t="shared" si="16"/>
        <v>M</v>
      </c>
      <c r="G49" s="1" t="str">
        <f t="shared" si="17"/>
        <v>D</v>
      </c>
      <c r="H49" s="1">
        <v>1</v>
      </c>
      <c r="I49" s="1">
        <v>1</v>
      </c>
      <c r="J49" s="8" t="s">
        <v>276</v>
      </c>
      <c r="K49" s="8">
        <v>2</v>
      </c>
      <c r="L49" s="8">
        <v>1</v>
      </c>
      <c r="M49" s="8">
        <v>3</v>
      </c>
      <c r="N49" s="8">
        <v>11.2</v>
      </c>
      <c r="O49" s="8">
        <v>1</v>
      </c>
      <c r="P49" s="1" t="s">
        <v>8</v>
      </c>
      <c r="Q49" s="3">
        <v>45665</v>
      </c>
      <c r="R49" s="3">
        <v>45666</v>
      </c>
      <c r="S49" s="3">
        <v>45656</v>
      </c>
      <c r="T49" s="3">
        <v>45657</v>
      </c>
      <c r="U49" s="1">
        <f t="shared" si="18"/>
        <v>9</v>
      </c>
      <c r="V49" s="3">
        <v>45683</v>
      </c>
      <c r="W49" s="1">
        <f>_xlfn.DAYS(V49,R49)</f>
        <v>17</v>
      </c>
      <c r="X49" s="3">
        <v>45689</v>
      </c>
      <c r="Y49" s="1">
        <f>_xlfn.DAYS(X49,R49)</f>
        <v>23</v>
      </c>
      <c r="Z49" s="1">
        <f>_xlfn.DAYS(BK49,X49)</f>
        <v>7</v>
      </c>
      <c r="AB49" s="3">
        <v>45698</v>
      </c>
      <c r="AD49" s="11" t="s">
        <v>86</v>
      </c>
      <c r="AE49" s="11">
        <v>45697</v>
      </c>
      <c r="AF49" s="1">
        <f t="shared" si="19"/>
        <v>31</v>
      </c>
      <c r="AG49" s="8">
        <v>0</v>
      </c>
      <c r="AH49" s="5">
        <v>0.69699999999999995</v>
      </c>
      <c r="AI49" s="1">
        <v>2</v>
      </c>
      <c r="AJ49" s="3">
        <v>45670</v>
      </c>
      <c r="AK49" s="5">
        <f>AL49-AH49</f>
        <v>6.3019999999999996</v>
      </c>
      <c r="AL49" s="5">
        <v>6.9989999999999997</v>
      </c>
      <c r="AM49" s="1">
        <v>2</v>
      </c>
      <c r="AN49" s="3">
        <f>V49+1</f>
        <v>45684</v>
      </c>
      <c r="AO49" s="1">
        <v>6.7830000000000004</v>
      </c>
      <c r="AP49" s="8">
        <v>2</v>
      </c>
      <c r="AQ49" s="3">
        <f>X49+1</f>
        <v>45690</v>
      </c>
      <c r="AR49" s="5">
        <f>AO49-AH49</f>
        <v>6.0860000000000003</v>
      </c>
      <c r="AS49" s="1">
        <v>8</v>
      </c>
      <c r="AT49" s="1">
        <v>21</v>
      </c>
      <c r="AU49" s="1">
        <v>98</v>
      </c>
      <c r="AV49" s="1">
        <f t="shared" si="5"/>
        <v>127</v>
      </c>
      <c r="AW49" s="1">
        <v>23</v>
      </c>
      <c r="AX49" s="1">
        <v>157</v>
      </c>
      <c r="AY49" s="1">
        <v>327</v>
      </c>
      <c r="AZ49" s="1">
        <f t="shared" si="20"/>
        <v>507</v>
      </c>
      <c r="BA49" s="1">
        <v>67</v>
      </c>
      <c r="BB49" s="1">
        <v>0</v>
      </c>
      <c r="BC49" s="1">
        <v>0</v>
      </c>
      <c r="BD49" s="8" t="s">
        <v>12</v>
      </c>
      <c r="BE49" s="8" t="s">
        <v>12</v>
      </c>
      <c r="BF49" s="1" t="s">
        <v>12</v>
      </c>
      <c r="BG49" s="1" t="s">
        <v>12</v>
      </c>
      <c r="BH49" s="1" t="s">
        <v>12</v>
      </c>
      <c r="BI49" s="1">
        <f>BA49+BB49+BC49</f>
        <v>67</v>
      </c>
      <c r="BJ49" s="1">
        <f t="shared" si="21"/>
        <v>701</v>
      </c>
      <c r="BK49" s="3">
        <v>45696</v>
      </c>
      <c r="BL49" s="6" t="s">
        <v>50</v>
      </c>
      <c r="BM49" s="6"/>
      <c r="BN49" s="6" t="s">
        <v>199</v>
      </c>
      <c r="BO49" s="13">
        <v>48.03</v>
      </c>
      <c r="BP49" s="13">
        <v>11.57</v>
      </c>
      <c r="BQ49" s="1">
        <v>11</v>
      </c>
      <c r="BR49" s="1">
        <v>0</v>
      </c>
      <c r="BS49" s="1">
        <f>BQ49+BR49</f>
        <v>11</v>
      </c>
      <c r="BT49" s="1">
        <v>15</v>
      </c>
      <c r="BU49" s="1">
        <v>0</v>
      </c>
      <c r="BV49" s="1">
        <f>BT49+BU49</f>
        <v>15</v>
      </c>
      <c r="BW49" s="1">
        <v>9</v>
      </c>
      <c r="BX49" s="1">
        <v>0</v>
      </c>
      <c r="BY49" s="1">
        <f>BW49+BX49</f>
        <v>9</v>
      </c>
      <c r="BZ49" s="1">
        <v>12</v>
      </c>
      <c r="CA49" s="1">
        <v>0</v>
      </c>
      <c r="CB49" s="1">
        <f>BZ49+CA49</f>
        <v>12</v>
      </c>
      <c r="CC49" s="1">
        <f>BS49+BV49+BY49+CB49</f>
        <v>47</v>
      </c>
      <c r="CD49" s="1">
        <f>CN49-CC49</f>
        <v>1</v>
      </c>
      <c r="CE49" s="7">
        <f>CC49+CD49</f>
        <v>48</v>
      </c>
      <c r="CF49" s="8">
        <v>9</v>
      </c>
      <c r="CG49" s="8">
        <v>11</v>
      </c>
      <c r="CH49" s="8">
        <v>13</v>
      </c>
      <c r="CI49" s="8">
        <v>13</v>
      </c>
      <c r="CJ49" s="8">
        <v>1</v>
      </c>
      <c r="CK49" s="8">
        <v>1</v>
      </c>
      <c r="CL49" s="8">
        <v>0</v>
      </c>
      <c r="CM49" s="8">
        <v>0</v>
      </c>
      <c r="CN49" s="1">
        <f>CF49+CG49+CH49+CI49+CJ49+CK49+CL49+CM49</f>
        <v>48</v>
      </c>
      <c r="CO49" s="1">
        <f>CN49/CE49</f>
        <v>1</v>
      </c>
      <c r="CP49" s="8">
        <v>6.2480000000000002</v>
      </c>
      <c r="CQ49" s="8">
        <v>5</v>
      </c>
      <c r="CR49" s="1">
        <f>CP49/CQ49</f>
        <v>1.2496</v>
      </c>
      <c r="CS49" s="1">
        <v>3.8410000000000002</v>
      </c>
      <c r="CT49" s="8">
        <v>4</v>
      </c>
      <c r="CU49" s="1">
        <f>CS49/CT49</f>
        <v>0.96025000000000005</v>
      </c>
    </row>
    <row r="50" spans="1:99" x14ac:dyDescent="0.25">
      <c r="A50" s="1">
        <v>50</v>
      </c>
      <c r="B50" s="1">
        <v>48</v>
      </c>
      <c r="C50" s="2" t="s">
        <v>73</v>
      </c>
      <c r="D50" s="1" t="s">
        <v>280</v>
      </c>
      <c r="E50" s="1" t="s">
        <v>12</v>
      </c>
      <c r="F50" s="1" t="str">
        <f t="shared" si="16"/>
        <v>I</v>
      </c>
      <c r="G50" s="1" t="str">
        <f t="shared" si="17"/>
        <v>C</v>
      </c>
      <c r="H50" s="1">
        <v>0</v>
      </c>
      <c r="I50" s="1">
        <v>1</v>
      </c>
      <c r="J50" s="8" t="s">
        <v>278</v>
      </c>
      <c r="K50" s="1">
        <v>3</v>
      </c>
      <c r="L50" s="1">
        <v>2</v>
      </c>
      <c r="M50" s="8">
        <v>0.6</v>
      </c>
      <c r="N50" s="1">
        <v>14.2</v>
      </c>
      <c r="P50" s="1" t="s">
        <v>8</v>
      </c>
      <c r="Q50" s="3">
        <v>45665</v>
      </c>
      <c r="R50" s="3">
        <v>45666</v>
      </c>
      <c r="S50" s="3">
        <v>45656</v>
      </c>
      <c r="T50" s="3">
        <v>45657</v>
      </c>
      <c r="U50" s="1">
        <f t="shared" si="18"/>
        <v>9</v>
      </c>
      <c r="V50" s="3">
        <v>45683</v>
      </c>
      <c r="W50" s="1">
        <f>_xlfn.DAYS(V50,R50)</f>
        <v>17</v>
      </c>
      <c r="X50" s="3">
        <v>45690</v>
      </c>
      <c r="Y50" s="1">
        <f>_xlfn.DAYS(X50,R50)</f>
        <v>24</v>
      </c>
      <c r="AA50" s="3">
        <v>45691</v>
      </c>
      <c r="AD50" s="11"/>
      <c r="AE50" s="11">
        <f>AA50</f>
        <v>45691</v>
      </c>
      <c r="AF50" s="1">
        <f t="shared" si="19"/>
        <v>25</v>
      </c>
      <c r="AG50" s="1">
        <v>1</v>
      </c>
      <c r="AH50" s="5">
        <v>0.99199999999999999</v>
      </c>
      <c r="AI50" s="1">
        <v>2</v>
      </c>
      <c r="AJ50" s="3">
        <v>45670</v>
      </c>
      <c r="AK50" s="5">
        <f>AL50-AH50</f>
        <v>7.0940000000000003</v>
      </c>
      <c r="AL50" s="5">
        <v>8.0860000000000003</v>
      </c>
      <c r="AM50" s="1">
        <v>2</v>
      </c>
      <c r="AN50" s="3">
        <f>V50+1</f>
        <v>45684</v>
      </c>
      <c r="AO50" s="1" t="s">
        <v>12</v>
      </c>
      <c r="AP50" s="5" t="s">
        <v>12</v>
      </c>
      <c r="AQ50" s="3" t="s">
        <v>12</v>
      </c>
      <c r="AR50" s="1" t="s">
        <v>12</v>
      </c>
      <c r="AS50" s="1">
        <v>15</v>
      </c>
      <c r="AT50" s="1">
        <v>25</v>
      </c>
      <c r="AU50" s="1">
        <v>59</v>
      </c>
      <c r="AV50" s="1">
        <f t="shared" si="5"/>
        <v>99</v>
      </c>
      <c r="AW50" s="1">
        <v>99</v>
      </c>
      <c r="AX50" s="1">
        <v>126</v>
      </c>
      <c r="AY50" s="1">
        <v>296</v>
      </c>
      <c r="AZ50" s="1">
        <f t="shared" si="20"/>
        <v>521</v>
      </c>
      <c r="BA50" s="1">
        <v>85</v>
      </c>
      <c r="BB50" s="1">
        <v>0</v>
      </c>
      <c r="BC50" s="1">
        <v>0</v>
      </c>
      <c r="BD50" s="8" t="s">
        <v>12</v>
      </c>
      <c r="BE50" s="8" t="s">
        <v>12</v>
      </c>
      <c r="BF50" s="1" t="s">
        <v>12</v>
      </c>
      <c r="BG50" s="1" t="s">
        <v>12</v>
      </c>
      <c r="BH50" s="1" t="s">
        <v>12</v>
      </c>
      <c r="BI50" s="1">
        <f>BA50+BB50+BC50</f>
        <v>85</v>
      </c>
      <c r="BJ50" s="1">
        <f t="shared" si="21"/>
        <v>705</v>
      </c>
      <c r="BK50" s="3" t="s">
        <v>12</v>
      </c>
      <c r="BL50" s="10" t="s">
        <v>12</v>
      </c>
      <c r="BM50" s="10" t="s">
        <v>12</v>
      </c>
      <c r="BN50" s="14" t="s">
        <v>12</v>
      </c>
      <c r="BO50" s="13" t="s">
        <v>12</v>
      </c>
      <c r="BP50" s="13" t="s">
        <v>12</v>
      </c>
      <c r="BQ50" s="13" t="s">
        <v>12</v>
      </c>
      <c r="BR50" s="13" t="s">
        <v>12</v>
      </c>
      <c r="BS50" s="13" t="s">
        <v>12</v>
      </c>
      <c r="BT50" s="13" t="s">
        <v>12</v>
      </c>
      <c r="BU50" s="13" t="s">
        <v>12</v>
      </c>
      <c r="BV50" s="13" t="s">
        <v>12</v>
      </c>
      <c r="BW50" s="13" t="s">
        <v>12</v>
      </c>
      <c r="BX50" s="13" t="s">
        <v>12</v>
      </c>
      <c r="BY50" s="13" t="s">
        <v>12</v>
      </c>
      <c r="BZ50" s="13" t="s">
        <v>12</v>
      </c>
      <c r="CA50" s="13" t="s">
        <v>12</v>
      </c>
      <c r="CB50" s="13" t="s">
        <v>12</v>
      </c>
      <c r="CC50" s="13" t="s">
        <v>12</v>
      </c>
      <c r="CD50" s="13"/>
      <c r="CE50" s="13" t="s">
        <v>12</v>
      </c>
      <c r="CF50" s="13" t="s">
        <v>12</v>
      </c>
      <c r="CG50" s="13" t="s">
        <v>12</v>
      </c>
      <c r="CH50" s="13" t="s">
        <v>12</v>
      </c>
      <c r="CI50" s="13" t="s">
        <v>12</v>
      </c>
      <c r="CJ50" s="13" t="s">
        <v>12</v>
      </c>
      <c r="CK50" s="13" t="s">
        <v>12</v>
      </c>
      <c r="CL50" s="13" t="s">
        <v>12</v>
      </c>
      <c r="CM50" s="13" t="s">
        <v>12</v>
      </c>
      <c r="CN50" s="13" t="s">
        <v>12</v>
      </c>
      <c r="CO50" s="13" t="s">
        <v>12</v>
      </c>
    </row>
    <row r="51" spans="1:99" x14ac:dyDescent="0.25">
      <c r="A51" s="1">
        <v>51</v>
      </c>
      <c r="B51" s="1">
        <v>49</v>
      </c>
      <c r="C51" s="2" t="s">
        <v>46</v>
      </c>
      <c r="D51" s="3" t="s">
        <v>10</v>
      </c>
      <c r="E51" s="1" t="str">
        <f>D51</f>
        <v>m</v>
      </c>
      <c r="F51" s="1" t="str">
        <f t="shared" si="16"/>
        <v>A</v>
      </c>
      <c r="G51" s="1" t="str">
        <f t="shared" si="17"/>
        <v>B</v>
      </c>
      <c r="H51" s="1">
        <v>1</v>
      </c>
      <c r="I51" s="1">
        <v>0</v>
      </c>
      <c r="J51" s="8" t="s">
        <v>278</v>
      </c>
      <c r="K51" s="8">
        <v>3</v>
      </c>
      <c r="L51" s="8">
        <v>2</v>
      </c>
      <c r="M51" s="8">
        <v>0.6</v>
      </c>
      <c r="N51" s="8">
        <v>15.2</v>
      </c>
      <c r="O51" s="8">
        <v>1</v>
      </c>
      <c r="P51" s="1" t="s">
        <v>8</v>
      </c>
      <c r="Q51" s="3">
        <v>45665</v>
      </c>
      <c r="R51" s="3">
        <v>45666</v>
      </c>
      <c r="S51" s="3">
        <v>45656</v>
      </c>
      <c r="T51" s="3">
        <v>45657</v>
      </c>
      <c r="U51" s="1">
        <f t="shared" si="18"/>
        <v>9</v>
      </c>
      <c r="V51" s="3">
        <v>45683</v>
      </c>
      <c r="W51" s="1">
        <f>_xlfn.DAYS(V51,R51)</f>
        <v>17</v>
      </c>
      <c r="X51" s="3">
        <v>45689</v>
      </c>
      <c r="Y51" s="1">
        <f>_xlfn.DAYS(X51,R51)</f>
        <v>23</v>
      </c>
      <c r="Z51" s="1">
        <f>_xlfn.DAYS(BK51,X51)</f>
        <v>7</v>
      </c>
      <c r="AB51" s="3">
        <v>45698</v>
      </c>
      <c r="AD51" s="11" t="s">
        <v>86</v>
      </c>
      <c r="AE51" s="11">
        <v>45697</v>
      </c>
      <c r="AF51" s="1">
        <f t="shared" si="19"/>
        <v>31</v>
      </c>
      <c r="AG51" s="8">
        <v>0</v>
      </c>
      <c r="AH51" s="5">
        <v>0.746</v>
      </c>
      <c r="AI51" s="1">
        <v>2</v>
      </c>
      <c r="AJ51" s="3">
        <v>45670</v>
      </c>
      <c r="AK51" s="5">
        <f>AL51-AH51</f>
        <v>6.0399999999999991</v>
      </c>
      <c r="AL51" s="5">
        <v>6.7859999999999996</v>
      </c>
      <c r="AM51" s="1">
        <v>2</v>
      </c>
      <c r="AN51" s="3">
        <f>V51+1</f>
        <v>45684</v>
      </c>
      <c r="AO51" s="8">
        <v>6.593</v>
      </c>
      <c r="AP51" s="8">
        <v>2</v>
      </c>
      <c r="AQ51" s="3">
        <f>X51+1</f>
        <v>45690</v>
      </c>
      <c r="AR51" s="5">
        <f>AO51-AH51</f>
        <v>5.8469999999999995</v>
      </c>
      <c r="AS51" s="1">
        <v>6</v>
      </c>
      <c r="AT51" s="1">
        <v>18</v>
      </c>
      <c r="AU51" s="1">
        <v>53</v>
      </c>
      <c r="AV51" s="1">
        <f t="shared" si="5"/>
        <v>77</v>
      </c>
      <c r="AW51" s="1">
        <v>51</v>
      </c>
      <c r="AX51" s="1">
        <v>174</v>
      </c>
      <c r="AY51" s="1">
        <v>261</v>
      </c>
      <c r="AZ51" s="1">
        <f t="shared" si="20"/>
        <v>486</v>
      </c>
      <c r="BA51" s="1">
        <v>14</v>
      </c>
      <c r="BB51" s="1">
        <v>1</v>
      </c>
      <c r="BC51" s="1">
        <v>0</v>
      </c>
      <c r="BD51" s="8" t="s">
        <v>12</v>
      </c>
      <c r="BE51" s="8" t="s">
        <v>12</v>
      </c>
      <c r="BF51" s="1" t="s">
        <v>12</v>
      </c>
      <c r="BG51" s="1" t="s">
        <v>12</v>
      </c>
      <c r="BH51" s="1" t="s">
        <v>12</v>
      </c>
      <c r="BI51" s="1">
        <f>BA51+BB51+BC51</f>
        <v>15</v>
      </c>
      <c r="BJ51" s="1">
        <f t="shared" si="21"/>
        <v>578</v>
      </c>
      <c r="BK51" s="3">
        <v>45696</v>
      </c>
      <c r="BL51" s="6" t="s">
        <v>45</v>
      </c>
      <c r="BM51" s="6"/>
      <c r="BN51" s="6" t="s">
        <v>198</v>
      </c>
      <c r="BO51" s="13">
        <v>45.5</v>
      </c>
      <c r="BP51" s="13">
        <v>14.1</v>
      </c>
      <c r="BQ51" s="1">
        <v>0</v>
      </c>
      <c r="BR51" s="1">
        <v>1</v>
      </c>
      <c r="BS51" s="1">
        <f>BQ51+BR51</f>
        <v>1</v>
      </c>
      <c r="BT51" s="1">
        <v>2</v>
      </c>
      <c r="BU51" s="1">
        <v>2</v>
      </c>
      <c r="BV51" s="1">
        <f>BT51+BU51</f>
        <v>4</v>
      </c>
      <c r="BW51" s="1">
        <v>4</v>
      </c>
      <c r="BX51" s="1">
        <v>0</v>
      </c>
      <c r="BY51" s="1">
        <f>BW51+BX51</f>
        <v>4</v>
      </c>
      <c r="BZ51" s="1">
        <v>7</v>
      </c>
      <c r="CA51" s="1">
        <v>0</v>
      </c>
      <c r="CB51" s="1">
        <f>BZ51+CA51</f>
        <v>7</v>
      </c>
      <c r="CC51" s="1">
        <f>BS51+BV51+BY51+CB51</f>
        <v>16</v>
      </c>
      <c r="CD51" s="1">
        <f>CN51-CC51</f>
        <v>7</v>
      </c>
      <c r="CE51" s="7">
        <f>CC51+CD51</f>
        <v>23</v>
      </c>
      <c r="CF51" s="8">
        <v>1</v>
      </c>
      <c r="CG51" s="8">
        <v>0</v>
      </c>
      <c r="CH51" s="8">
        <v>7</v>
      </c>
      <c r="CI51" s="8">
        <v>5</v>
      </c>
      <c r="CJ51" s="8">
        <v>9</v>
      </c>
      <c r="CK51" s="8">
        <v>0</v>
      </c>
      <c r="CL51" s="8">
        <v>1</v>
      </c>
      <c r="CM51" s="8">
        <v>0</v>
      </c>
      <c r="CN51" s="1">
        <f>CF51+CG51+CH51+CI51+CJ51+CK51+CL51+CM51</f>
        <v>23</v>
      </c>
      <c r="CO51" s="1">
        <f>CN51/CE51</f>
        <v>1</v>
      </c>
      <c r="CP51" s="8">
        <v>3.7050000000000001</v>
      </c>
      <c r="CQ51" s="8">
        <v>5</v>
      </c>
      <c r="CR51" s="1">
        <f>CP51/CQ51</f>
        <v>0.74099999999999999</v>
      </c>
      <c r="CS51" s="1">
        <v>2.0369999999999999</v>
      </c>
      <c r="CT51" s="8">
        <v>4</v>
      </c>
      <c r="CU51" s="1">
        <f>CS51/CT51</f>
        <v>0.50924999999999998</v>
      </c>
    </row>
    <row r="52" spans="1:99" x14ac:dyDescent="0.25">
      <c r="A52" s="1">
        <v>52</v>
      </c>
      <c r="B52" s="1">
        <v>50</v>
      </c>
      <c r="C52" s="2" t="s">
        <v>74</v>
      </c>
      <c r="D52" s="3" t="s">
        <v>27</v>
      </c>
      <c r="E52" s="1" t="str">
        <f>D52</f>
        <v>f</v>
      </c>
      <c r="F52" s="1" t="str">
        <f t="shared" si="16"/>
        <v>C</v>
      </c>
      <c r="G52" s="1" t="str">
        <f t="shared" si="17"/>
        <v>A</v>
      </c>
      <c r="H52" s="1">
        <v>0</v>
      </c>
      <c r="I52" s="1">
        <v>0</v>
      </c>
      <c r="J52" s="8" t="s">
        <v>278</v>
      </c>
      <c r="K52" s="8">
        <v>3</v>
      </c>
      <c r="L52" s="8">
        <v>2</v>
      </c>
      <c r="M52" s="8">
        <v>0.6</v>
      </c>
      <c r="N52" s="8">
        <v>16.2</v>
      </c>
      <c r="O52" s="8">
        <v>1</v>
      </c>
      <c r="P52" s="1" t="s">
        <v>8</v>
      </c>
      <c r="Q52" s="3">
        <v>45665</v>
      </c>
      <c r="R52" s="3">
        <v>45666</v>
      </c>
      <c r="S52" s="3">
        <v>45656</v>
      </c>
      <c r="T52" s="3">
        <v>45657</v>
      </c>
      <c r="U52" s="1">
        <f t="shared" si="18"/>
        <v>9</v>
      </c>
      <c r="V52" s="3">
        <v>45684</v>
      </c>
      <c r="W52" s="1">
        <f>_xlfn.DAYS(V52,R52)</f>
        <v>18</v>
      </c>
      <c r="X52" s="3">
        <v>45689</v>
      </c>
      <c r="Y52" s="1">
        <f>_xlfn.DAYS(X52,R52)</f>
        <v>23</v>
      </c>
      <c r="Z52" s="1">
        <f>_xlfn.DAYS(BK52,X52)</f>
        <v>7</v>
      </c>
      <c r="AB52" s="3">
        <v>45702</v>
      </c>
      <c r="AD52" s="11" t="s">
        <v>86</v>
      </c>
      <c r="AE52" s="11">
        <v>45697</v>
      </c>
      <c r="AF52" s="1">
        <f t="shared" si="19"/>
        <v>31</v>
      </c>
      <c r="AG52" s="8">
        <v>0</v>
      </c>
      <c r="AH52" s="5">
        <v>1.002</v>
      </c>
      <c r="AI52" s="1">
        <v>2</v>
      </c>
      <c r="AJ52" s="3">
        <v>45670</v>
      </c>
      <c r="AK52" s="5">
        <f>AL52-AH52</f>
        <v>7.2120000000000006</v>
      </c>
      <c r="AL52" s="5">
        <v>8.2140000000000004</v>
      </c>
      <c r="AM52" s="1">
        <v>1</v>
      </c>
      <c r="AN52" s="3">
        <f>V52+1</f>
        <v>45685</v>
      </c>
      <c r="AO52" s="8">
        <v>7.7069999999999999</v>
      </c>
      <c r="AP52" s="8">
        <v>2</v>
      </c>
      <c r="AQ52" s="3">
        <f>X52+1</f>
        <v>45690</v>
      </c>
      <c r="AR52" s="5">
        <f>AO52-AH52</f>
        <v>6.7050000000000001</v>
      </c>
      <c r="AS52" s="1">
        <v>17</v>
      </c>
      <c r="AT52" s="1">
        <v>49</v>
      </c>
      <c r="AU52" s="1">
        <v>67</v>
      </c>
      <c r="AV52" s="1">
        <f t="shared" si="5"/>
        <v>133</v>
      </c>
      <c r="AW52" s="1">
        <v>66</v>
      </c>
      <c r="AX52" s="1">
        <v>250</v>
      </c>
      <c r="AY52" s="1">
        <v>354</v>
      </c>
      <c r="AZ52" s="1">
        <f t="shared" si="20"/>
        <v>670</v>
      </c>
      <c r="BA52" s="1">
        <v>68</v>
      </c>
      <c r="BB52" s="1">
        <v>17</v>
      </c>
      <c r="BC52" s="1">
        <v>0</v>
      </c>
      <c r="BD52" s="8" t="s">
        <v>12</v>
      </c>
      <c r="BE52" s="8" t="s">
        <v>12</v>
      </c>
      <c r="BF52" s="1" t="s">
        <v>12</v>
      </c>
      <c r="BG52" s="1" t="s">
        <v>12</v>
      </c>
      <c r="BH52" s="1" t="s">
        <v>12</v>
      </c>
      <c r="BI52" s="1">
        <f>BA52+BB52+BC52</f>
        <v>85</v>
      </c>
      <c r="BJ52" s="1">
        <f t="shared" si="21"/>
        <v>888</v>
      </c>
      <c r="BK52" s="3">
        <v>45696</v>
      </c>
      <c r="BL52" s="6"/>
      <c r="BM52" s="6" t="s">
        <v>75</v>
      </c>
      <c r="BN52" s="6" t="s">
        <v>205</v>
      </c>
      <c r="BO52" s="13">
        <v>40.32</v>
      </c>
      <c r="BP52" s="13">
        <v>19.28</v>
      </c>
      <c r="BQ52" s="1">
        <v>6</v>
      </c>
      <c r="BR52" s="1">
        <v>0</v>
      </c>
      <c r="BS52" s="1">
        <f>BQ52+BR52</f>
        <v>6</v>
      </c>
      <c r="BT52" s="1">
        <v>10</v>
      </c>
      <c r="BU52" s="1">
        <v>0</v>
      </c>
      <c r="BV52" s="1">
        <f>BT52+BU52</f>
        <v>10</v>
      </c>
      <c r="BW52" s="1">
        <v>6</v>
      </c>
      <c r="BX52" s="1">
        <v>0</v>
      </c>
      <c r="BY52" s="1">
        <f>BW52+BX52</f>
        <v>6</v>
      </c>
      <c r="BZ52" s="1">
        <v>8</v>
      </c>
      <c r="CA52" s="1">
        <v>0</v>
      </c>
      <c r="CB52" s="1">
        <f>BZ52+CA52</f>
        <v>8</v>
      </c>
      <c r="CC52" s="1">
        <f>BS52+BV52+BY52+CB52</f>
        <v>30</v>
      </c>
      <c r="CE52" s="7">
        <f>CC52+CD52</f>
        <v>30</v>
      </c>
      <c r="CF52" s="8">
        <v>3</v>
      </c>
      <c r="CG52" s="8">
        <v>6</v>
      </c>
      <c r="CH52" s="8">
        <v>8</v>
      </c>
      <c r="CI52" s="8">
        <v>5</v>
      </c>
      <c r="CJ52" s="8">
        <v>4</v>
      </c>
      <c r="CK52" s="8">
        <v>1</v>
      </c>
      <c r="CL52" s="8">
        <v>0</v>
      </c>
      <c r="CM52" s="8">
        <v>0</v>
      </c>
      <c r="CN52" s="1">
        <f>CF52+CG52+CH52+CI52+CJ52+CK52+CL52+CM52</f>
        <v>27</v>
      </c>
      <c r="CO52" s="1">
        <f>CN52/CE52</f>
        <v>0.9</v>
      </c>
      <c r="CP52" s="8">
        <v>4.9569999999999999</v>
      </c>
      <c r="CQ52" s="8">
        <v>5</v>
      </c>
      <c r="CR52" s="1">
        <f>CP52/CQ52</f>
        <v>0.99139999999999995</v>
      </c>
      <c r="CS52" s="1">
        <v>2.87</v>
      </c>
      <c r="CT52" s="8">
        <v>3</v>
      </c>
      <c r="CU52" s="1">
        <f>CS52/CT52</f>
        <v>0.95666666666666667</v>
      </c>
    </row>
    <row r="53" spans="1:99" x14ac:dyDescent="0.25">
      <c r="A53" s="1">
        <v>53</v>
      </c>
      <c r="B53" s="1">
        <v>51</v>
      </c>
      <c r="C53" s="2" t="s">
        <v>76</v>
      </c>
      <c r="D53" s="1" t="s">
        <v>280</v>
      </c>
      <c r="E53" s="1" t="s">
        <v>12</v>
      </c>
      <c r="F53" s="1" t="str">
        <f t="shared" si="16"/>
        <v>M</v>
      </c>
      <c r="G53" s="1" t="str">
        <f t="shared" si="17"/>
        <v>D</v>
      </c>
      <c r="H53" s="1">
        <v>1</v>
      </c>
      <c r="I53" s="1">
        <v>1</v>
      </c>
      <c r="J53" s="8" t="s">
        <v>276</v>
      </c>
      <c r="K53" s="8">
        <v>3</v>
      </c>
      <c r="L53" s="8">
        <v>2</v>
      </c>
      <c r="M53" s="8">
        <v>0.6</v>
      </c>
      <c r="N53" s="8">
        <v>17.2</v>
      </c>
      <c r="O53" s="8"/>
      <c r="P53" s="1" t="s">
        <v>8</v>
      </c>
      <c r="Q53" s="3">
        <v>45665</v>
      </c>
      <c r="R53" s="3">
        <v>45666</v>
      </c>
      <c r="S53" s="3">
        <v>45656</v>
      </c>
      <c r="T53" s="3">
        <v>45657</v>
      </c>
      <c r="U53" s="1">
        <f t="shared" si="18"/>
        <v>9</v>
      </c>
      <c r="V53" s="1" t="s">
        <v>12</v>
      </c>
      <c r="W53" s="1" t="s">
        <v>12</v>
      </c>
      <c r="X53" s="1" t="s">
        <v>12</v>
      </c>
      <c r="Y53" s="1" t="s">
        <v>12</v>
      </c>
      <c r="AA53" s="3">
        <v>45668</v>
      </c>
      <c r="AE53" s="11">
        <f>AA53</f>
        <v>45668</v>
      </c>
      <c r="AF53" s="1">
        <f t="shared" si="19"/>
        <v>2</v>
      </c>
      <c r="AG53" s="8">
        <v>1</v>
      </c>
      <c r="AH53" s="5" t="s">
        <v>12</v>
      </c>
      <c r="AI53" s="1">
        <v>2</v>
      </c>
      <c r="AJ53" s="3">
        <v>45670</v>
      </c>
      <c r="AK53" s="5" t="s">
        <v>12</v>
      </c>
      <c r="AL53" s="5" t="s">
        <v>12</v>
      </c>
      <c r="AM53" s="1" t="s">
        <v>12</v>
      </c>
      <c r="AN53" s="3" t="s">
        <v>12</v>
      </c>
      <c r="AO53" s="1" t="s">
        <v>12</v>
      </c>
      <c r="AP53" s="5" t="s">
        <v>12</v>
      </c>
      <c r="AQ53" s="3" t="s">
        <v>12</v>
      </c>
      <c r="AR53" s="1" t="s">
        <v>12</v>
      </c>
      <c r="AS53" s="1">
        <v>0</v>
      </c>
      <c r="AT53" s="1" t="s">
        <v>12</v>
      </c>
      <c r="AU53" s="1" t="s">
        <v>12</v>
      </c>
      <c r="AV53" s="1">
        <v>0</v>
      </c>
      <c r="AW53" s="1" t="s">
        <v>12</v>
      </c>
      <c r="AX53" s="1" t="s">
        <v>12</v>
      </c>
      <c r="AY53" s="1" t="s">
        <v>12</v>
      </c>
      <c r="AZ53" s="1" t="s">
        <v>12</v>
      </c>
      <c r="BA53" s="1" t="s">
        <v>12</v>
      </c>
      <c r="BB53" s="1" t="s">
        <v>12</v>
      </c>
      <c r="BC53" s="1" t="s">
        <v>12</v>
      </c>
      <c r="BD53" s="1" t="s">
        <v>12</v>
      </c>
      <c r="BE53" s="1" t="s">
        <v>12</v>
      </c>
      <c r="BF53" s="1" t="s">
        <v>12</v>
      </c>
      <c r="BG53" s="1" t="s">
        <v>12</v>
      </c>
      <c r="BH53" s="1" t="s">
        <v>12</v>
      </c>
      <c r="BI53" s="1" t="s">
        <v>12</v>
      </c>
      <c r="BJ53" s="1" t="s">
        <v>12</v>
      </c>
      <c r="BK53" s="3" t="s">
        <v>12</v>
      </c>
      <c r="BL53" s="10" t="s">
        <v>12</v>
      </c>
      <c r="BM53" s="10" t="s">
        <v>12</v>
      </c>
      <c r="BN53" s="14" t="s">
        <v>12</v>
      </c>
      <c r="BO53" s="13" t="s">
        <v>12</v>
      </c>
      <c r="BP53" s="13" t="s">
        <v>12</v>
      </c>
      <c r="BQ53" s="13" t="s">
        <v>12</v>
      </c>
      <c r="BR53" s="13" t="s">
        <v>12</v>
      </c>
      <c r="BS53" s="13" t="s">
        <v>12</v>
      </c>
      <c r="BT53" s="13" t="s">
        <v>12</v>
      </c>
      <c r="BU53" s="13" t="s">
        <v>12</v>
      </c>
      <c r="BV53" s="13" t="s">
        <v>12</v>
      </c>
      <c r="BW53" s="13" t="s">
        <v>12</v>
      </c>
      <c r="BX53" s="13" t="s">
        <v>12</v>
      </c>
      <c r="BY53" s="13" t="s">
        <v>12</v>
      </c>
      <c r="BZ53" s="13" t="s">
        <v>12</v>
      </c>
      <c r="CA53" s="13" t="s">
        <v>12</v>
      </c>
      <c r="CB53" s="13" t="s">
        <v>12</v>
      </c>
      <c r="CC53" s="13" t="s">
        <v>12</v>
      </c>
      <c r="CD53" s="13"/>
      <c r="CE53" s="13" t="s">
        <v>12</v>
      </c>
      <c r="CF53" s="13" t="s">
        <v>12</v>
      </c>
      <c r="CG53" s="13" t="s">
        <v>12</v>
      </c>
      <c r="CH53" s="13" t="s">
        <v>12</v>
      </c>
      <c r="CI53" s="13" t="s">
        <v>12</v>
      </c>
      <c r="CJ53" s="13" t="s">
        <v>12</v>
      </c>
      <c r="CK53" s="13" t="s">
        <v>12</v>
      </c>
      <c r="CL53" s="13" t="s">
        <v>12</v>
      </c>
      <c r="CM53" s="13" t="s">
        <v>12</v>
      </c>
      <c r="CN53" s="13" t="s">
        <v>12</v>
      </c>
      <c r="CO53" s="13" t="s">
        <v>12</v>
      </c>
    </row>
    <row r="54" spans="1:99" x14ac:dyDescent="0.25">
      <c r="A54" s="1">
        <v>54</v>
      </c>
      <c r="B54" s="1">
        <v>52</v>
      </c>
      <c r="C54" s="2" t="s">
        <v>16</v>
      </c>
      <c r="D54" s="3" t="s">
        <v>27</v>
      </c>
      <c r="E54" s="1" t="str">
        <f t="shared" ref="E54:E61" si="22">D54</f>
        <v>f</v>
      </c>
      <c r="F54" s="1" t="str">
        <f t="shared" si="16"/>
        <v>A</v>
      </c>
      <c r="G54" s="1" t="str">
        <f t="shared" si="17"/>
        <v>B</v>
      </c>
      <c r="H54" s="1">
        <v>1</v>
      </c>
      <c r="I54" s="1">
        <v>0</v>
      </c>
      <c r="J54" s="8" t="s">
        <v>278</v>
      </c>
      <c r="K54" s="8">
        <v>3</v>
      </c>
      <c r="L54" s="8">
        <v>2</v>
      </c>
      <c r="M54" s="8">
        <v>1.6</v>
      </c>
      <c r="N54" s="8">
        <v>17.2</v>
      </c>
      <c r="O54" s="8">
        <v>1</v>
      </c>
      <c r="P54" s="1" t="s">
        <v>8</v>
      </c>
      <c r="Q54" s="3">
        <v>45665</v>
      </c>
      <c r="R54" s="3">
        <v>45666</v>
      </c>
      <c r="S54" s="3">
        <v>45656</v>
      </c>
      <c r="T54" s="3">
        <v>45657</v>
      </c>
      <c r="U54" s="1">
        <f t="shared" si="18"/>
        <v>9</v>
      </c>
      <c r="V54" s="3">
        <v>45683</v>
      </c>
      <c r="W54" s="1">
        <f t="shared" ref="W54:W64" si="23">_xlfn.DAYS(V54,R54)</f>
        <v>17</v>
      </c>
      <c r="X54" s="3">
        <v>45688</v>
      </c>
      <c r="Y54" s="1">
        <f t="shared" ref="Y54:Y61" si="24">_xlfn.DAYS(X54,R54)</f>
        <v>22</v>
      </c>
      <c r="Z54" s="1">
        <f>_xlfn.DAYS(BK54,X54)</f>
        <v>7</v>
      </c>
      <c r="AB54" s="3">
        <v>45701</v>
      </c>
      <c r="AD54" s="11" t="s">
        <v>86</v>
      </c>
      <c r="AE54" s="11">
        <v>45697</v>
      </c>
      <c r="AF54" s="1">
        <f t="shared" si="19"/>
        <v>31</v>
      </c>
      <c r="AG54" s="8">
        <v>0</v>
      </c>
      <c r="AH54" s="5">
        <v>1.083</v>
      </c>
      <c r="AI54" s="1">
        <v>2</v>
      </c>
      <c r="AJ54" s="3">
        <v>45670</v>
      </c>
      <c r="AK54" s="5">
        <f t="shared" ref="AK54:AK64" si="25">AL54-AH54</f>
        <v>7.8390000000000004</v>
      </c>
      <c r="AL54" s="5">
        <v>8.9220000000000006</v>
      </c>
      <c r="AM54" s="1">
        <v>2</v>
      </c>
      <c r="AN54" s="3">
        <f t="shared" ref="AN54:AN64" si="26">V54+1</f>
        <v>45684</v>
      </c>
      <c r="AO54" s="1">
        <v>8.0549999999999997</v>
      </c>
      <c r="AP54" s="8">
        <v>2</v>
      </c>
      <c r="AQ54" s="3">
        <f t="shared" ref="AQ54:AQ61" si="27">X54+1</f>
        <v>45689</v>
      </c>
      <c r="AR54" s="5">
        <f t="shared" ref="AR54:AR61" si="28">AO54-AH54</f>
        <v>6.9719999999999995</v>
      </c>
      <c r="AS54" s="1">
        <v>13</v>
      </c>
      <c r="AT54" s="1">
        <v>36</v>
      </c>
      <c r="AU54" s="1">
        <v>71</v>
      </c>
      <c r="AV54" s="1">
        <f t="shared" ref="AV54:AV67" si="29">AS54+AT54+AU54</f>
        <v>120</v>
      </c>
      <c r="AW54" s="1">
        <v>50</v>
      </c>
      <c r="AX54" s="1">
        <v>402</v>
      </c>
      <c r="AY54" s="1">
        <v>198</v>
      </c>
      <c r="AZ54" s="1">
        <f t="shared" ref="AZ54:AZ64" si="30">SUM(AW54+AX54+AY54)</f>
        <v>650</v>
      </c>
      <c r="BA54" s="1">
        <v>24</v>
      </c>
      <c r="BB54" s="1">
        <v>0</v>
      </c>
      <c r="BC54" s="1">
        <v>0</v>
      </c>
      <c r="BD54" s="8" t="s">
        <v>12</v>
      </c>
      <c r="BE54" s="8" t="s">
        <v>12</v>
      </c>
      <c r="BF54" s="1" t="s">
        <v>12</v>
      </c>
      <c r="BG54" s="1" t="s">
        <v>12</v>
      </c>
      <c r="BH54" s="1" t="s">
        <v>12</v>
      </c>
      <c r="BI54" s="1">
        <f>BA54+BB54+BC54</f>
        <v>24</v>
      </c>
      <c r="BJ54" s="1">
        <f t="shared" ref="BJ54:BJ64" si="31">AV54+AZ54+BI54</f>
        <v>794</v>
      </c>
      <c r="BK54" s="3">
        <v>45695</v>
      </c>
      <c r="BL54" s="6"/>
      <c r="BM54" s="6" t="s">
        <v>15</v>
      </c>
      <c r="BN54" s="6" t="s">
        <v>191</v>
      </c>
      <c r="BO54" s="13">
        <v>58.17</v>
      </c>
      <c r="BP54" s="13">
        <v>1.43</v>
      </c>
      <c r="BQ54" s="1">
        <v>5</v>
      </c>
      <c r="BR54" s="1">
        <v>0</v>
      </c>
      <c r="BS54" s="1">
        <f>BQ54+BR54</f>
        <v>5</v>
      </c>
      <c r="BT54" s="1">
        <v>8</v>
      </c>
      <c r="BU54" s="1">
        <v>0</v>
      </c>
      <c r="BV54" s="1">
        <f>BT54+BU54</f>
        <v>8</v>
      </c>
      <c r="BW54" s="1">
        <v>12</v>
      </c>
      <c r="BX54" s="1">
        <v>0</v>
      </c>
      <c r="BY54" s="1">
        <f>BW54+BX54</f>
        <v>12</v>
      </c>
      <c r="BZ54" s="1">
        <v>10</v>
      </c>
      <c r="CA54" s="1">
        <v>0</v>
      </c>
      <c r="CB54" s="1">
        <f>BZ54+CA54</f>
        <v>10</v>
      </c>
      <c r="CC54" s="1">
        <f>BS54+BV54+BY54+CB54</f>
        <v>35</v>
      </c>
      <c r="CE54" s="7">
        <f>CC54+CD54</f>
        <v>35</v>
      </c>
      <c r="CF54" s="1">
        <v>4</v>
      </c>
      <c r="CG54" s="1">
        <v>8</v>
      </c>
      <c r="CH54" s="1">
        <v>5</v>
      </c>
      <c r="CI54" s="1">
        <v>6</v>
      </c>
      <c r="CJ54" s="1">
        <v>3</v>
      </c>
      <c r="CK54" s="1">
        <v>0</v>
      </c>
      <c r="CL54" s="1">
        <v>0</v>
      </c>
      <c r="CM54" s="1">
        <v>0</v>
      </c>
      <c r="CN54" s="1">
        <f>CF54+CG54+CH54+CI54+CJ54+CK54+CL54+CM54</f>
        <v>26</v>
      </c>
      <c r="CO54" s="1">
        <f>CN54/CE54</f>
        <v>0.74285714285714288</v>
      </c>
      <c r="CP54" s="8">
        <v>5.67</v>
      </c>
      <c r="CQ54" s="8">
        <v>5</v>
      </c>
      <c r="CR54" s="1">
        <f>CP54/CQ54</f>
        <v>1.1339999999999999</v>
      </c>
      <c r="CS54" s="1">
        <v>4.9160000000000004</v>
      </c>
      <c r="CT54" s="8">
        <v>5</v>
      </c>
      <c r="CU54" s="1">
        <f>CS54/CT54</f>
        <v>0.98320000000000007</v>
      </c>
    </row>
    <row r="55" spans="1:99" x14ac:dyDescent="0.25">
      <c r="A55" s="1">
        <v>55</v>
      </c>
      <c r="B55" s="1">
        <v>53</v>
      </c>
      <c r="C55" s="2" t="s">
        <v>77</v>
      </c>
      <c r="D55" s="3" t="s">
        <v>10</v>
      </c>
      <c r="E55" s="1" t="str">
        <f t="shared" si="22"/>
        <v>m</v>
      </c>
      <c r="F55" s="1" t="str">
        <f t="shared" si="16"/>
        <v>C</v>
      </c>
      <c r="G55" s="1" t="str">
        <f t="shared" si="17"/>
        <v>A</v>
      </c>
      <c r="H55" s="1">
        <v>0</v>
      </c>
      <c r="I55" s="1">
        <v>0</v>
      </c>
      <c r="J55" s="8" t="s">
        <v>278</v>
      </c>
      <c r="K55" s="8">
        <v>3</v>
      </c>
      <c r="L55" s="8">
        <v>2</v>
      </c>
      <c r="M55" s="8">
        <v>1.6</v>
      </c>
      <c r="N55" s="8">
        <v>16.2</v>
      </c>
      <c r="O55" s="8">
        <v>1</v>
      </c>
      <c r="P55" s="1" t="s">
        <v>8</v>
      </c>
      <c r="Q55" s="3">
        <v>45665</v>
      </c>
      <c r="R55" s="3">
        <v>45666</v>
      </c>
      <c r="S55" s="3">
        <v>45656</v>
      </c>
      <c r="T55" s="3">
        <v>45657</v>
      </c>
      <c r="U55" s="1">
        <f t="shared" si="18"/>
        <v>9</v>
      </c>
      <c r="V55" s="3">
        <v>45683</v>
      </c>
      <c r="W55" s="1">
        <f t="shared" si="23"/>
        <v>17</v>
      </c>
      <c r="X55" s="3">
        <v>45689</v>
      </c>
      <c r="Y55" s="1">
        <f t="shared" si="24"/>
        <v>23</v>
      </c>
      <c r="Z55" s="1">
        <f>_xlfn.DAYS(BK55,X55)</f>
        <v>7</v>
      </c>
      <c r="AB55" s="3">
        <v>45698</v>
      </c>
      <c r="AD55" s="11" t="s">
        <v>86</v>
      </c>
      <c r="AE55" s="11">
        <v>45697</v>
      </c>
      <c r="AF55" s="1">
        <f t="shared" si="19"/>
        <v>31</v>
      </c>
      <c r="AG55" s="8">
        <v>0</v>
      </c>
      <c r="AH55" s="5">
        <v>0.86299999999999999</v>
      </c>
      <c r="AI55" s="1">
        <v>2</v>
      </c>
      <c r="AJ55" s="3">
        <v>45670</v>
      </c>
      <c r="AK55" s="5">
        <f t="shared" si="25"/>
        <v>6.0790000000000006</v>
      </c>
      <c r="AL55" s="5">
        <v>6.9420000000000002</v>
      </c>
      <c r="AM55" s="1">
        <v>2</v>
      </c>
      <c r="AN55" s="3">
        <f t="shared" si="26"/>
        <v>45684</v>
      </c>
      <c r="AO55" s="1">
        <v>5.6550000000000002</v>
      </c>
      <c r="AP55" s="8">
        <v>2</v>
      </c>
      <c r="AQ55" s="3">
        <f t="shared" si="27"/>
        <v>45690</v>
      </c>
      <c r="AR55" s="5">
        <f t="shared" si="28"/>
        <v>4.7919999999999998</v>
      </c>
      <c r="AS55" s="1">
        <v>11</v>
      </c>
      <c r="AT55" s="1">
        <v>24</v>
      </c>
      <c r="AU55" s="1">
        <v>62</v>
      </c>
      <c r="AV55" s="1">
        <f t="shared" si="29"/>
        <v>97</v>
      </c>
      <c r="AW55" s="1">
        <v>70</v>
      </c>
      <c r="AX55" s="1">
        <v>198</v>
      </c>
      <c r="AY55" s="1">
        <v>301</v>
      </c>
      <c r="AZ55" s="1">
        <f t="shared" si="30"/>
        <v>569</v>
      </c>
      <c r="BA55" s="1">
        <v>7</v>
      </c>
      <c r="BB55" s="1">
        <v>0</v>
      </c>
      <c r="BC55" s="1">
        <v>0</v>
      </c>
      <c r="BD55" s="8" t="s">
        <v>12</v>
      </c>
      <c r="BE55" s="8" t="s">
        <v>12</v>
      </c>
      <c r="BF55" s="1" t="s">
        <v>12</v>
      </c>
      <c r="BG55" s="1" t="s">
        <v>12</v>
      </c>
      <c r="BH55" s="1" t="s">
        <v>12</v>
      </c>
      <c r="BI55" s="1">
        <f>BA55+BB55+BC55</f>
        <v>7</v>
      </c>
      <c r="BJ55" s="1">
        <f t="shared" si="31"/>
        <v>673</v>
      </c>
      <c r="BK55" s="3">
        <v>45696</v>
      </c>
      <c r="BL55" s="6" t="s">
        <v>78</v>
      </c>
      <c r="BM55" s="6"/>
      <c r="BN55" s="6" t="s">
        <v>206</v>
      </c>
      <c r="BO55" s="13">
        <v>55.08</v>
      </c>
      <c r="BP55" s="13">
        <v>4.5199999999999996</v>
      </c>
      <c r="BQ55" s="1">
        <v>11</v>
      </c>
      <c r="BR55" s="1">
        <v>1</v>
      </c>
      <c r="BS55" s="1">
        <f>BQ55+BR55</f>
        <v>12</v>
      </c>
      <c r="BT55" s="1">
        <v>14</v>
      </c>
      <c r="BU55" s="1">
        <v>0</v>
      </c>
      <c r="BV55" s="1">
        <f>BT55+BU55</f>
        <v>14</v>
      </c>
      <c r="BW55" s="1">
        <v>10</v>
      </c>
      <c r="BX55" s="1">
        <v>0</v>
      </c>
      <c r="BY55" s="1">
        <f>BW55+BX55</f>
        <v>10</v>
      </c>
      <c r="BZ55" s="1">
        <v>14</v>
      </c>
      <c r="CA55" s="1">
        <v>0</v>
      </c>
      <c r="CB55" s="1">
        <f>BZ55+CA55</f>
        <v>14</v>
      </c>
      <c r="CC55" s="1">
        <f>BS55+BV55+BY55+CB55</f>
        <v>50</v>
      </c>
      <c r="CE55" s="7">
        <f>CC55+CD55</f>
        <v>50</v>
      </c>
      <c r="CF55" s="8">
        <v>7</v>
      </c>
      <c r="CG55" s="8">
        <v>7</v>
      </c>
      <c r="CH55" s="8">
        <v>10</v>
      </c>
      <c r="CI55" s="8">
        <v>9</v>
      </c>
      <c r="CJ55" s="8">
        <v>7</v>
      </c>
      <c r="CK55" s="8">
        <v>0</v>
      </c>
      <c r="CL55" s="8">
        <v>1</v>
      </c>
      <c r="CM55" s="8">
        <v>0</v>
      </c>
      <c r="CN55" s="1">
        <f>CF55+CG55+CH55+CI55+CJ55+CK55+CL55+CM55</f>
        <v>41</v>
      </c>
      <c r="CO55" s="1">
        <f>CN55/CE55</f>
        <v>0.82</v>
      </c>
      <c r="CP55" s="8">
        <v>1.609</v>
      </c>
      <c r="CQ55" s="8">
        <v>4</v>
      </c>
      <c r="CR55" s="1">
        <f>CP55/CQ55</f>
        <v>0.40225</v>
      </c>
      <c r="CS55" s="1">
        <v>2.7610000000000001</v>
      </c>
      <c r="CT55" s="8">
        <v>5</v>
      </c>
      <c r="CU55" s="1">
        <f>CS55/CT55</f>
        <v>0.55220000000000002</v>
      </c>
    </row>
    <row r="56" spans="1:99" x14ac:dyDescent="0.25">
      <c r="A56" s="1">
        <v>56</v>
      </c>
      <c r="B56" s="1">
        <v>54</v>
      </c>
      <c r="C56" s="2" t="s">
        <v>79</v>
      </c>
      <c r="D56" s="3" t="s">
        <v>10</v>
      </c>
      <c r="E56" s="1" t="str">
        <f t="shared" si="22"/>
        <v>m</v>
      </c>
      <c r="F56" s="1" t="str">
        <f t="shared" si="16"/>
        <v>M</v>
      </c>
      <c r="G56" s="1" t="str">
        <f t="shared" si="17"/>
        <v>D</v>
      </c>
      <c r="H56" s="1">
        <v>1</v>
      </c>
      <c r="I56" s="1">
        <v>1</v>
      </c>
      <c r="J56" s="8" t="s">
        <v>276</v>
      </c>
      <c r="K56" s="8">
        <v>3</v>
      </c>
      <c r="L56" s="8">
        <v>2</v>
      </c>
      <c r="M56" s="8">
        <v>1.6</v>
      </c>
      <c r="N56" s="8">
        <v>15.2</v>
      </c>
      <c r="O56" s="8">
        <v>1</v>
      </c>
      <c r="P56" s="1" t="s">
        <v>8</v>
      </c>
      <c r="Q56" s="3">
        <v>45665</v>
      </c>
      <c r="R56" s="3">
        <v>45666</v>
      </c>
      <c r="S56" s="3">
        <v>45656</v>
      </c>
      <c r="T56" s="3">
        <v>45657</v>
      </c>
      <c r="U56" s="1">
        <f t="shared" si="18"/>
        <v>9</v>
      </c>
      <c r="V56" s="3">
        <v>45686</v>
      </c>
      <c r="W56" s="1">
        <f t="shared" si="23"/>
        <v>20</v>
      </c>
      <c r="X56" s="3">
        <v>45691</v>
      </c>
      <c r="Y56" s="1">
        <f t="shared" si="24"/>
        <v>25</v>
      </c>
      <c r="AB56" s="3">
        <v>45700</v>
      </c>
      <c r="AD56" s="11" t="s">
        <v>86</v>
      </c>
      <c r="AE56" s="11">
        <v>45697</v>
      </c>
      <c r="AF56" s="1">
        <f t="shared" si="19"/>
        <v>31</v>
      </c>
      <c r="AG56" s="8">
        <v>0</v>
      </c>
      <c r="AH56" s="5">
        <v>0.46800000000000003</v>
      </c>
      <c r="AI56" s="1">
        <v>2</v>
      </c>
      <c r="AJ56" s="3">
        <v>45670</v>
      </c>
      <c r="AK56" s="5">
        <f t="shared" si="25"/>
        <v>6.2569999999999997</v>
      </c>
      <c r="AL56" s="5">
        <v>6.7249999999999996</v>
      </c>
      <c r="AM56" s="1">
        <v>2</v>
      </c>
      <c r="AN56" s="3">
        <f t="shared" si="26"/>
        <v>45687</v>
      </c>
      <c r="AO56" s="1">
        <v>6.1630000000000003</v>
      </c>
      <c r="AP56" s="8">
        <v>2</v>
      </c>
      <c r="AQ56" s="3">
        <f t="shared" si="27"/>
        <v>45692</v>
      </c>
      <c r="AR56" s="5">
        <f t="shared" si="28"/>
        <v>5.6950000000000003</v>
      </c>
      <c r="AS56" s="1">
        <v>11</v>
      </c>
      <c r="AT56" s="1">
        <v>11</v>
      </c>
      <c r="AU56" s="1">
        <v>24</v>
      </c>
      <c r="AV56" s="1">
        <f t="shared" si="29"/>
        <v>46</v>
      </c>
      <c r="AW56" s="1">
        <v>54</v>
      </c>
      <c r="AX56" s="1">
        <v>78</v>
      </c>
      <c r="AY56" s="1">
        <v>210</v>
      </c>
      <c r="AZ56" s="1">
        <f t="shared" si="30"/>
        <v>342</v>
      </c>
      <c r="BA56" s="1">
        <v>191</v>
      </c>
      <c r="BB56" s="1">
        <v>147</v>
      </c>
      <c r="BC56" s="1">
        <v>0</v>
      </c>
      <c r="BD56" s="1">
        <v>0</v>
      </c>
      <c r="BE56" s="8" t="s">
        <v>12</v>
      </c>
      <c r="BF56" s="1" t="s">
        <v>12</v>
      </c>
      <c r="BG56" s="1" t="s">
        <v>12</v>
      </c>
      <c r="BH56" s="1" t="s">
        <v>12</v>
      </c>
      <c r="BI56" s="1">
        <f>BA56+BB56+BC56+BD56</f>
        <v>338</v>
      </c>
      <c r="BJ56" s="1">
        <f t="shared" si="31"/>
        <v>726</v>
      </c>
      <c r="BK56" s="3" t="s">
        <v>12</v>
      </c>
      <c r="BL56" s="10" t="s">
        <v>12</v>
      </c>
      <c r="BM56" s="10" t="s">
        <v>12</v>
      </c>
      <c r="BN56" s="14" t="s">
        <v>12</v>
      </c>
      <c r="BO56" s="13" t="s">
        <v>12</v>
      </c>
      <c r="BP56" s="13" t="s">
        <v>12</v>
      </c>
      <c r="BQ56" s="13" t="s">
        <v>12</v>
      </c>
      <c r="BR56" s="13" t="s">
        <v>12</v>
      </c>
      <c r="BS56" s="13" t="s">
        <v>12</v>
      </c>
      <c r="BT56" s="13" t="s">
        <v>12</v>
      </c>
      <c r="BU56" s="13" t="s">
        <v>12</v>
      </c>
      <c r="BV56" s="13" t="s">
        <v>12</v>
      </c>
      <c r="BW56" s="13" t="s">
        <v>12</v>
      </c>
      <c r="BX56" s="13" t="s">
        <v>12</v>
      </c>
      <c r="BY56" s="13" t="s">
        <v>12</v>
      </c>
      <c r="BZ56" s="13" t="s">
        <v>12</v>
      </c>
      <c r="CA56" s="13" t="s">
        <v>12</v>
      </c>
      <c r="CB56" s="13" t="s">
        <v>12</v>
      </c>
      <c r="CC56" s="13" t="s">
        <v>12</v>
      </c>
      <c r="CD56" s="13"/>
      <c r="CE56" s="13" t="s">
        <v>12</v>
      </c>
      <c r="CF56" s="13" t="s">
        <v>12</v>
      </c>
      <c r="CG56" s="13" t="s">
        <v>12</v>
      </c>
      <c r="CH56" s="13" t="s">
        <v>12</v>
      </c>
      <c r="CI56" s="13" t="s">
        <v>12</v>
      </c>
      <c r="CJ56" s="13" t="s">
        <v>12</v>
      </c>
      <c r="CK56" s="13" t="s">
        <v>12</v>
      </c>
      <c r="CL56" s="13" t="s">
        <v>12</v>
      </c>
      <c r="CM56" s="13" t="s">
        <v>12</v>
      </c>
      <c r="CN56" s="13" t="s">
        <v>12</v>
      </c>
      <c r="CO56" s="13" t="s">
        <v>12</v>
      </c>
    </row>
    <row r="57" spans="1:99" x14ac:dyDescent="0.25">
      <c r="A57" s="1">
        <v>57</v>
      </c>
      <c r="B57" s="1">
        <v>55</v>
      </c>
      <c r="C57" s="2" t="s">
        <v>80</v>
      </c>
      <c r="D57" s="3" t="s">
        <v>10</v>
      </c>
      <c r="E57" s="1" t="str">
        <f t="shared" si="22"/>
        <v>m</v>
      </c>
      <c r="F57" s="1" t="str">
        <f t="shared" si="16"/>
        <v>I</v>
      </c>
      <c r="G57" s="1" t="str">
        <f t="shared" si="17"/>
        <v>C</v>
      </c>
      <c r="H57" s="1">
        <v>0</v>
      </c>
      <c r="I57" s="1">
        <v>1</v>
      </c>
      <c r="J57" s="8" t="s">
        <v>278</v>
      </c>
      <c r="K57" s="8">
        <v>3</v>
      </c>
      <c r="L57" s="8">
        <v>2</v>
      </c>
      <c r="M57" s="8">
        <v>1.6</v>
      </c>
      <c r="N57" s="8">
        <v>14.2</v>
      </c>
      <c r="O57" s="8">
        <v>1</v>
      </c>
      <c r="P57" s="1" t="s">
        <v>8</v>
      </c>
      <c r="Q57" s="3">
        <v>45665</v>
      </c>
      <c r="R57" s="3">
        <v>45666</v>
      </c>
      <c r="S57" s="3">
        <v>45656</v>
      </c>
      <c r="T57" s="3">
        <v>45657</v>
      </c>
      <c r="U57" s="1">
        <f t="shared" si="18"/>
        <v>9</v>
      </c>
      <c r="V57" s="3">
        <v>45684</v>
      </c>
      <c r="W57" s="1">
        <f t="shared" si="23"/>
        <v>18</v>
      </c>
      <c r="X57" s="3">
        <v>45689</v>
      </c>
      <c r="Y57" s="1">
        <f t="shared" si="24"/>
        <v>23</v>
      </c>
      <c r="AB57" s="3">
        <v>45698</v>
      </c>
      <c r="AD57" s="11" t="s">
        <v>86</v>
      </c>
      <c r="AE57" s="11">
        <v>45697</v>
      </c>
      <c r="AF57" s="1">
        <f t="shared" si="19"/>
        <v>31</v>
      </c>
      <c r="AG57" s="8">
        <v>0</v>
      </c>
      <c r="AH57" s="5">
        <v>0.64100000000000001</v>
      </c>
      <c r="AI57" s="1">
        <v>2</v>
      </c>
      <c r="AJ57" s="3">
        <v>45670</v>
      </c>
      <c r="AK57" s="5">
        <f t="shared" si="25"/>
        <v>5.0030000000000001</v>
      </c>
      <c r="AL57" s="5">
        <v>5.6440000000000001</v>
      </c>
      <c r="AM57" s="1">
        <v>1</v>
      </c>
      <c r="AN57" s="3">
        <f t="shared" si="26"/>
        <v>45685</v>
      </c>
      <c r="AO57" s="1">
        <v>4.9429999999999996</v>
      </c>
      <c r="AP57" s="8">
        <v>2</v>
      </c>
      <c r="AQ57" s="3">
        <f t="shared" si="27"/>
        <v>45690</v>
      </c>
      <c r="AR57" s="5">
        <f t="shared" si="28"/>
        <v>4.3019999999999996</v>
      </c>
      <c r="AS57" s="1">
        <v>10</v>
      </c>
      <c r="AT57" s="1">
        <v>17</v>
      </c>
      <c r="AU57" s="1">
        <v>41</v>
      </c>
      <c r="AV57" s="1">
        <f t="shared" si="29"/>
        <v>68</v>
      </c>
      <c r="AW57" s="1">
        <v>68</v>
      </c>
      <c r="AX57" s="1">
        <v>85</v>
      </c>
      <c r="AY57" s="1">
        <v>228</v>
      </c>
      <c r="AZ57" s="1">
        <f t="shared" si="30"/>
        <v>381</v>
      </c>
      <c r="BA57" s="1">
        <v>48</v>
      </c>
      <c r="BB57" s="1">
        <v>0</v>
      </c>
      <c r="BC57" s="1">
        <v>0</v>
      </c>
      <c r="BD57" s="8" t="s">
        <v>12</v>
      </c>
      <c r="BE57" s="8" t="s">
        <v>12</v>
      </c>
      <c r="BF57" s="1" t="s">
        <v>12</v>
      </c>
      <c r="BG57" s="1" t="s">
        <v>12</v>
      </c>
      <c r="BH57" s="1" t="s">
        <v>12</v>
      </c>
      <c r="BI57" s="1">
        <f>BA57+BB57+BC57</f>
        <v>48</v>
      </c>
      <c r="BJ57" s="1">
        <f t="shared" si="31"/>
        <v>497</v>
      </c>
      <c r="BK57" s="3" t="s">
        <v>12</v>
      </c>
      <c r="BL57" s="10" t="s">
        <v>12</v>
      </c>
      <c r="BM57" s="10" t="s">
        <v>12</v>
      </c>
      <c r="BN57" s="14" t="s">
        <v>12</v>
      </c>
      <c r="BO57" s="13" t="s">
        <v>12</v>
      </c>
      <c r="BP57" s="13" t="s">
        <v>12</v>
      </c>
      <c r="BQ57" s="13" t="s">
        <v>12</v>
      </c>
      <c r="BR57" s="13" t="s">
        <v>12</v>
      </c>
      <c r="BS57" s="13" t="s">
        <v>12</v>
      </c>
      <c r="BT57" s="13" t="s">
        <v>12</v>
      </c>
      <c r="BU57" s="13" t="s">
        <v>12</v>
      </c>
      <c r="BV57" s="13" t="s">
        <v>12</v>
      </c>
      <c r="BW57" s="13" t="s">
        <v>12</v>
      </c>
      <c r="BX57" s="13" t="s">
        <v>12</v>
      </c>
      <c r="BY57" s="13" t="s">
        <v>12</v>
      </c>
      <c r="BZ57" s="13" t="s">
        <v>12</v>
      </c>
      <c r="CA57" s="13" t="s">
        <v>12</v>
      </c>
      <c r="CB57" s="13" t="s">
        <v>12</v>
      </c>
      <c r="CC57" s="13" t="s">
        <v>12</v>
      </c>
      <c r="CD57" s="13"/>
      <c r="CE57" s="13" t="s">
        <v>12</v>
      </c>
      <c r="CF57" s="13" t="s">
        <v>12</v>
      </c>
      <c r="CG57" s="13" t="s">
        <v>12</v>
      </c>
      <c r="CH57" s="13" t="s">
        <v>12</v>
      </c>
      <c r="CI57" s="13" t="s">
        <v>12</v>
      </c>
      <c r="CJ57" s="13" t="s">
        <v>12</v>
      </c>
      <c r="CK57" s="13" t="s">
        <v>12</v>
      </c>
      <c r="CL57" s="13" t="s">
        <v>12</v>
      </c>
      <c r="CM57" s="13" t="s">
        <v>12</v>
      </c>
      <c r="CN57" s="13" t="s">
        <v>12</v>
      </c>
      <c r="CO57" s="13" t="s">
        <v>12</v>
      </c>
    </row>
    <row r="58" spans="1:99" x14ac:dyDescent="0.25">
      <c r="A58" s="1">
        <v>58</v>
      </c>
      <c r="B58" s="1">
        <v>56</v>
      </c>
      <c r="C58" s="2" t="s">
        <v>81</v>
      </c>
      <c r="D58" s="3" t="s">
        <v>10</v>
      </c>
      <c r="E58" s="1" t="str">
        <f t="shared" si="22"/>
        <v>m</v>
      </c>
      <c r="F58" s="1" t="str">
        <f t="shared" si="16"/>
        <v>A</v>
      </c>
      <c r="G58" s="1" t="str">
        <f t="shared" si="17"/>
        <v>B</v>
      </c>
      <c r="H58" s="1">
        <v>1</v>
      </c>
      <c r="I58" s="1">
        <v>0</v>
      </c>
      <c r="J58" s="8" t="s">
        <v>278</v>
      </c>
      <c r="K58" s="8">
        <v>3</v>
      </c>
      <c r="L58" s="8">
        <v>2</v>
      </c>
      <c r="M58" s="8">
        <v>2.6</v>
      </c>
      <c r="N58" s="1">
        <v>14.2</v>
      </c>
      <c r="O58" s="8">
        <v>1</v>
      </c>
      <c r="P58" s="1" t="s">
        <v>8</v>
      </c>
      <c r="Q58" s="3">
        <v>45665</v>
      </c>
      <c r="R58" s="3">
        <v>45666</v>
      </c>
      <c r="S58" s="3">
        <v>45656</v>
      </c>
      <c r="T58" s="3">
        <v>45657</v>
      </c>
      <c r="U58" s="1">
        <f t="shared" si="18"/>
        <v>9</v>
      </c>
      <c r="V58" s="3">
        <v>45682</v>
      </c>
      <c r="W58" s="1">
        <f t="shared" si="23"/>
        <v>16</v>
      </c>
      <c r="X58" s="3">
        <v>45688</v>
      </c>
      <c r="Y58" s="1">
        <f t="shared" si="24"/>
        <v>22</v>
      </c>
      <c r="Z58" s="1">
        <f>_xlfn.DAYS(BK58,X58)</f>
        <v>7</v>
      </c>
      <c r="AB58" s="3">
        <v>45697</v>
      </c>
      <c r="AD58" s="11" t="s">
        <v>86</v>
      </c>
      <c r="AE58" s="11">
        <v>45697</v>
      </c>
      <c r="AF58" s="1">
        <f t="shared" si="19"/>
        <v>31</v>
      </c>
      <c r="AG58" s="8">
        <v>0</v>
      </c>
      <c r="AH58" s="5">
        <v>0.96299999999999997</v>
      </c>
      <c r="AI58" s="1">
        <v>2</v>
      </c>
      <c r="AJ58" s="3">
        <v>45670</v>
      </c>
      <c r="AK58" s="5">
        <f t="shared" si="25"/>
        <v>6.3090000000000002</v>
      </c>
      <c r="AL58" s="5">
        <v>7.2720000000000002</v>
      </c>
      <c r="AM58" s="1">
        <v>2</v>
      </c>
      <c r="AN58" s="3">
        <f t="shared" si="26"/>
        <v>45683</v>
      </c>
      <c r="AO58" s="1">
        <v>6.63</v>
      </c>
      <c r="AP58" s="8">
        <v>2</v>
      </c>
      <c r="AQ58" s="3">
        <f t="shared" si="27"/>
        <v>45689</v>
      </c>
      <c r="AR58" s="5">
        <f t="shared" si="28"/>
        <v>5.6669999999999998</v>
      </c>
      <c r="AS58" s="1">
        <v>15</v>
      </c>
      <c r="AT58" s="1">
        <v>17</v>
      </c>
      <c r="AU58" s="1">
        <v>76</v>
      </c>
      <c r="AV58" s="1">
        <f t="shared" si="29"/>
        <v>108</v>
      </c>
      <c r="AW58" s="1">
        <v>82</v>
      </c>
      <c r="AX58" s="1">
        <v>226</v>
      </c>
      <c r="AY58" s="1">
        <v>167</v>
      </c>
      <c r="AZ58" s="1">
        <f t="shared" si="30"/>
        <v>475</v>
      </c>
      <c r="BA58" s="1">
        <v>7</v>
      </c>
      <c r="BB58" s="1">
        <v>0</v>
      </c>
      <c r="BC58" s="1" t="s">
        <v>12</v>
      </c>
      <c r="BD58" s="1" t="s">
        <v>12</v>
      </c>
      <c r="BE58" s="1" t="s">
        <v>12</v>
      </c>
      <c r="BF58" s="1" t="s">
        <v>12</v>
      </c>
      <c r="BG58" s="1" t="s">
        <v>12</v>
      </c>
      <c r="BH58" s="1" t="s">
        <v>12</v>
      </c>
      <c r="BI58" s="1">
        <f>BA58+BB58</f>
        <v>7</v>
      </c>
      <c r="BJ58" s="1">
        <f t="shared" si="31"/>
        <v>590</v>
      </c>
      <c r="BK58" s="3">
        <v>45695</v>
      </c>
      <c r="BL58" s="6" t="s">
        <v>82</v>
      </c>
      <c r="BM58" s="6"/>
      <c r="BN58" s="6" t="s">
        <v>195</v>
      </c>
      <c r="BO58" s="13">
        <v>0</v>
      </c>
      <c r="BP58" s="13">
        <v>60</v>
      </c>
      <c r="BQ58" s="1">
        <v>7</v>
      </c>
      <c r="BR58" s="1">
        <v>0</v>
      </c>
      <c r="BS58" s="1">
        <f>BQ58+BR58</f>
        <v>7</v>
      </c>
      <c r="BT58" s="1">
        <v>17</v>
      </c>
      <c r="BU58" s="1">
        <v>1</v>
      </c>
      <c r="BV58" s="1">
        <f>BT58+BU58</f>
        <v>18</v>
      </c>
      <c r="BW58" s="1">
        <v>12</v>
      </c>
      <c r="BX58" s="1">
        <v>0</v>
      </c>
      <c r="BY58" s="1">
        <f>BW58+BX58</f>
        <v>12</v>
      </c>
      <c r="BZ58" s="1">
        <v>11</v>
      </c>
      <c r="CA58" s="1">
        <v>0</v>
      </c>
      <c r="CB58" s="1">
        <f>BZ58+CA58</f>
        <v>11</v>
      </c>
      <c r="CC58" s="1">
        <f>BS58+BV58+BY58+CB58</f>
        <v>48</v>
      </c>
      <c r="CE58" s="7">
        <f>CC58+CD58</f>
        <v>48</v>
      </c>
      <c r="CF58" s="8">
        <v>3</v>
      </c>
      <c r="CG58" s="8">
        <v>12</v>
      </c>
      <c r="CH58" s="8">
        <v>14</v>
      </c>
      <c r="CI58" s="8">
        <v>15</v>
      </c>
      <c r="CJ58" s="8">
        <v>1</v>
      </c>
      <c r="CK58" s="8">
        <v>0</v>
      </c>
      <c r="CL58" s="8">
        <v>1</v>
      </c>
      <c r="CM58" s="8">
        <v>0</v>
      </c>
      <c r="CN58" s="1">
        <f>CF58+CG58+CH58+CI58+CJ58+CK58+CL58+CM58</f>
        <v>46</v>
      </c>
      <c r="CO58" s="1">
        <f>CN58/CE58</f>
        <v>0.95833333333333337</v>
      </c>
      <c r="CP58" s="8">
        <v>5.6310000000000002</v>
      </c>
      <c r="CQ58" s="8">
        <v>5</v>
      </c>
      <c r="CR58" s="1">
        <f>CP58/CQ58</f>
        <v>1.1262000000000001</v>
      </c>
      <c r="CS58" s="1">
        <v>6.2359999999999998</v>
      </c>
      <c r="CT58" s="8">
        <v>5</v>
      </c>
      <c r="CU58" s="1">
        <f>CS58/CT58</f>
        <v>1.2471999999999999</v>
      </c>
    </row>
    <row r="59" spans="1:99" x14ac:dyDescent="0.25">
      <c r="A59" s="1">
        <v>59</v>
      </c>
      <c r="B59" s="1">
        <v>57</v>
      </c>
      <c r="C59" s="2" t="s">
        <v>56</v>
      </c>
      <c r="D59" s="3" t="s">
        <v>10</v>
      </c>
      <c r="E59" s="1" t="str">
        <f t="shared" si="22"/>
        <v>m</v>
      </c>
      <c r="F59" s="1" t="str">
        <f t="shared" si="16"/>
        <v>M</v>
      </c>
      <c r="G59" s="1" t="str">
        <f t="shared" si="17"/>
        <v>D</v>
      </c>
      <c r="H59" s="1">
        <v>1</v>
      </c>
      <c r="I59" s="1">
        <v>1</v>
      </c>
      <c r="J59" s="8" t="s">
        <v>276</v>
      </c>
      <c r="K59" s="8">
        <v>3</v>
      </c>
      <c r="L59" s="8">
        <v>2</v>
      </c>
      <c r="M59" s="8">
        <v>2.6</v>
      </c>
      <c r="N59" s="8">
        <v>15.2</v>
      </c>
      <c r="O59" s="8">
        <v>1</v>
      </c>
      <c r="P59" s="1" t="s">
        <v>8</v>
      </c>
      <c r="Q59" s="3">
        <v>45665</v>
      </c>
      <c r="R59" s="3">
        <v>45666</v>
      </c>
      <c r="S59" s="3">
        <v>45656</v>
      </c>
      <c r="T59" s="3">
        <v>45657</v>
      </c>
      <c r="U59" s="1">
        <f t="shared" si="18"/>
        <v>9</v>
      </c>
      <c r="V59" s="3">
        <v>45684</v>
      </c>
      <c r="W59" s="1">
        <f t="shared" si="23"/>
        <v>18</v>
      </c>
      <c r="X59" s="3">
        <v>45689</v>
      </c>
      <c r="Y59" s="1">
        <f t="shared" si="24"/>
        <v>23</v>
      </c>
      <c r="Z59" s="1">
        <f>_xlfn.DAYS(BK59,X59)</f>
        <v>7</v>
      </c>
      <c r="AB59" s="3">
        <v>45698</v>
      </c>
      <c r="AD59" s="11" t="s">
        <v>86</v>
      </c>
      <c r="AE59" s="11">
        <v>45697</v>
      </c>
      <c r="AF59" s="1">
        <f t="shared" si="19"/>
        <v>31</v>
      </c>
      <c r="AG59" s="8">
        <v>0</v>
      </c>
      <c r="AH59" s="5">
        <v>0.89200000000000002</v>
      </c>
      <c r="AI59" s="1">
        <v>2</v>
      </c>
      <c r="AJ59" s="3">
        <v>45670</v>
      </c>
      <c r="AK59" s="5">
        <f t="shared" si="25"/>
        <v>6.4449999999999994</v>
      </c>
      <c r="AL59" s="5">
        <v>7.3369999999999997</v>
      </c>
      <c r="AM59" s="1">
        <v>1</v>
      </c>
      <c r="AN59" s="3">
        <f t="shared" si="26"/>
        <v>45685</v>
      </c>
      <c r="AO59" s="1">
        <v>6.52</v>
      </c>
      <c r="AP59" s="8">
        <v>2</v>
      </c>
      <c r="AQ59" s="3">
        <f t="shared" si="27"/>
        <v>45690</v>
      </c>
      <c r="AR59" s="5">
        <f t="shared" si="28"/>
        <v>5.6279999999999992</v>
      </c>
      <c r="AS59" s="1">
        <v>6</v>
      </c>
      <c r="AT59" s="1">
        <v>31</v>
      </c>
      <c r="AU59" s="1">
        <v>58</v>
      </c>
      <c r="AV59" s="1">
        <f t="shared" si="29"/>
        <v>95</v>
      </c>
      <c r="AW59" s="1">
        <v>34</v>
      </c>
      <c r="AX59" s="1">
        <v>189</v>
      </c>
      <c r="AY59" s="1">
        <v>341</v>
      </c>
      <c r="AZ59" s="1">
        <f t="shared" si="30"/>
        <v>564</v>
      </c>
      <c r="BA59" s="1">
        <v>54</v>
      </c>
      <c r="BB59" s="1">
        <v>0</v>
      </c>
      <c r="BC59" s="1">
        <v>0</v>
      </c>
      <c r="BD59" s="8" t="s">
        <v>12</v>
      </c>
      <c r="BE59" s="8" t="s">
        <v>12</v>
      </c>
      <c r="BF59" s="1" t="s">
        <v>12</v>
      </c>
      <c r="BG59" s="1" t="s">
        <v>12</v>
      </c>
      <c r="BH59" s="1" t="s">
        <v>12</v>
      </c>
      <c r="BI59" s="1">
        <f>BA59+BB59+BC59</f>
        <v>54</v>
      </c>
      <c r="BJ59" s="1">
        <f t="shared" si="31"/>
        <v>713</v>
      </c>
      <c r="BK59" s="3">
        <v>45696</v>
      </c>
      <c r="BL59" s="6" t="s">
        <v>55</v>
      </c>
      <c r="BM59" s="6"/>
      <c r="BN59" s="6" t="s">
        <v>201</v>
      </c>
      <c r="BO59" s="13">
        <v>52.38</v>
      </c>
      <c r="BP59" s="13">
        <v>7.22</v>
      </c>
      <c r="BQ59" s="1">
        <v>9</v>
      </c>
      <c r="BR59" s="1">
        <v>1</v>
      </c>
      <c r="BS59" s="1">
        <f>BQ59+BR59</f>
        <v>10</v>
      </c>
      <c r="BT59" s="1">
        <v>14</v>
      </c>
      <c r="BU59" s="1">
        <v>0</v>
      </c>
      <c r="BV59" s="1">
        <f>BT59+BU59</f>
        <v>14</v>
      </c>
      <c r="BW59" s="1">
        <v>10</v>
      </c>
      <c r="BX59" s="1">
        <v>0</v>
      </c>
      <c r="BY59" s="1">
        <f>BW59+BX59</f>
        <v>10</v>
      </c>
      <c r="BZ59" s="1">
        <v>13</v>
      </c>
      <c r="CA59" s="1">
        <v>0</v>
      </c>
      <c r="CB59" s="1">
        <f>BZ59+CA59</f>
        <v>13</v>
      </c>
      <c r="CC59" s="1">
        <f>BS59+BV59+BY59+CB59</f>
        <v>47</v>
      </c>
      <c r="CE59" s="7">
        <f>CC59+CD59</f>
        <v>47</v>
      </c>
      <c r="CF59" s="8">
        <v>5</v>
      </c>
      <c r="CG59" s="8">
        <v>8</v>
      </c>
      <c r="CH59" s="8">
        <v>13</v>
      </c>
      <c r="CI59" s="8">
        <v>9</v>
      </c>
      <c r="CJ59" s="8">
        <v>1</v>
      </c>
      <c r="CK59" s="8">
        <v>2</v>
      </c>
      <c r="CL59" s="8">
        <v>0</v>
      </c>
      <c r="CM59" s="8">
        <v>0</v>
      </c>
      <c r="CN59" s="1">
        <f>CF59+CG59+CH59+CI59+CJ59+CK59+CL59+CM59</f>
        <v>38</v>
      </c>
      <c r="CO59" s="1">
        <f>CN59/CE59</f>
        <v>0.80851063829787229</v>
      </c>
      <c r="CP59" s="8">
        <v>2.766</v>
      </c>
      <c r="CQ59" s="8">
        <v>4</v>
      </c>
      <c r="CR59" s="1">
        <f>CP59/CQ59</f>
        <v>0.6915</v>
      </c>
      <c r="CS59" s="1">
        <v>5.766</v>
      </c>
      <c r="CT59" s="8">
        <v>5</v>
      </c>
      <c r="CU59" s="1">
        <f>CS59/CT59</f>
        <v>1.1532</v>
      </c>
    </row>
    <row r="60" spans="1:99" x14ac:dyDescent="0.25">
      <c r="A60" s="1">
        <v>60</v>
      </c>
      <c r="B60" s="1">
        <v>58</v>
      </c>
      <c r="C60" s="2" t="s">
        <v>43</v>
      </c>
      <c r="D60" s="3" t="s">
        <v>27</v>
      </c>
      <c r="E60" s="1" t="str">
        <f t="shared" si="22"/>
        <v>f</v>
      </c>
      <c r="F60" s="1" t="str">
        <f t="shared" si="16"/>
        <v>I</v>
      </c>
      <c r="G60" s="1" t="str">
        <f t="shared" si="17"/>
        <v>C</v>
      </c>
      <c r="H60" s="1">
        <v>0</v>
      </c>
      <c r="I60" s="1">
        <v>1</v>
      </c>
      <c r="J60" s="8" t="s">
        <v>278</v>
      </c>
      <c r="K60" s="8">
        <v>3</v>
      </c>
      <c r="L60" s="8">
        <v>2</v>
      </c>
      <c r="M60" s="8">
        <v>2.6</v>
      </c>
      <c r="N60" s="8">
        <v>16.2</v>
      </c>
      <c r="O60" s="8">
        <v>1</v>
      </c>
      <c r="P60" s="1" t="s">
        <v>8</v>
      </c>
      <c r="Q60" s="3">
        <v>45665</v>
      </c>
      <c r="R60" s="3">
        <v>45666</v>
      </c>
      <c r="S60" s="3">
        <v>45656</v>
      </c>
      <c r="T60" s="3">
        <v>45657</v>
      </c>
      <c r="U60" s="1">
        <f t="shared" si="18"/>
        <v>9</v>
      </c>
      <c r="V60" s="3">
        <v>45684</v>
      </c>
      <c r="W60" s="1">
        <f t="shared" si="23"/>
        <v>18</v>
      </c>
      <c r="X60" s="3">
        <v>45690</v>
      </c>
      <c r="Y60" s="1">
        <f t="shared" si="24"/>
        <v>24</v>
      </c>
      <c r="Z60" s="1">
        <f>_xlfn.DAYS(BK60,X60)</f>
        <v>7</v>
      </c>
      <c r="AA60" s="3"/>
      <c r="AB60" s="3">
        <v>45703</v>
      </c>
      <c r="AD60" s="11" t="s">
        <v>86</v>
      </c>
      <c r="AE60" s="11">
        <v>45697</v>
      </c>
      <c r="AF60" s="1">
        <f t="shared" si="19"/>
        <v>31</v>
      </c>
      <c r="AG60" s="8">
        <v>0</v>
      </c>
      <c r="AH60" s="5">
        <v>1.101</v>
      </c>
      <c r="AI60" s="1">
        <v>2</v>
      </c>
      <c r="AJ60" s="3">
        <v>45670</v>
      </c>
      <c r="AK60" s="5">
        <f t="shared" si="25"/>
        <v>6.9609999999999994</v>
      </c>
      <c r="AL60" s="5">
        <v>8.0619999999999994</v>
      </c>
      <c r="AM60" s="8">
        <v>1</v>
      </c>
      <c r="AN60" s="3">
        <f t="shared" si="26"/>
        <v>45685</v>
      </c>
      <c r="AO60" s="1">
        <v>7.5940000000000003</v>
      </c>
      <c r="AP60" s="8">
        <v>2</v>
      </c>
      <c r="AQ60" s="3">
        <f t="shared" si="27"/>
        <v>45691</v>
      </c>
      <c r="AR60" s="5">
        <f t="shared" si="28"/>
        <v>6.4930000000000003</v>
      </c>
      <c r="AS60" s="1">
        <v>8</v>
      </c>
      <c r="AT60" s="1">
        <v>31</v>
      </c>
      <c r="AU60" s="1">
        <v>78</v>
      </c>
      <c r="AV60" s="1">
        <f t="shared" si="29"/>
        <v>117</v>
      </c>
      <c r="AW60" s="1">
        <v>63</v>
      </c>
      <c r="AX60" s="1">
        <v>169</v>
      </c>
      <c r="AY60" s="1">
        <v>162</v>
      </c>
      <c r="AZ60" s="1">
        <f t="shared" si="30"/>
        <v>394</v>
      </c>
      <c r="BA60" s="1">
        <v>172</v>
      </c>
      <c r="BB60" s="1">
        <v>4</v>
      </c>
      <c r="BC60" s="1">
        <v>0</v>
      </c>
      <c r="BD60" s="8" t="s">
        <v>12</v>
      </c>
      <c r="BE60" s="8" t="s">
        <v>12</v>
      </c>
      <c r="BF60" s="1" t="s">
        <v>12</v>
      </c>
      <c r="BG60" s="1" t="s">
        <v>12</v>
      </c>
      <c r="BH60" s="1" t="s">
        <v>12</v>
      </c>
      <c r="BI60" s="1">
        <f>BA60+BB60+BC60</f>
        <v>176</v>
      </c>
      <c r="BJ60" s="1">
        <f t="shared" si="31"/>
        <v>687</v>
      </c>
      <c r="BK60" s="3">
        <v>45697</v>
      </c>
      <c r="BL60" s="6"/>
      <c r="BM60" s="6" t="s">
        <v>42</v>
      </c>
      <c r="BN60" s="6" t="s">
        <v>213</v>
      </c>
      <c r="BO60" s="13">
        <v>48.08</v>
      </c>
      <c r="BP60" s="13">
        <v>11.52</v>
      </c>
      <c r="BQ60" s="1">
        <v>7</v>
      </c>
      <c r="BR60" s="1">
        <v>2</v>
      </c>
      <c r="BS60" s="1">
        <f>BQ60+BR60</f>
        <v>9</v>
      </c>
      <c r="BT60" s="1">
        <v>13</v>
      </c>
      <c r="BU60" s="1">
        <v>0</v>
      </c>
      <c r="BV60" s="1">
        <f>BT60+BU60</f>
        <v>13</v>
      </c>
      <c r="BW60" s="1">
        <v>14</v>
      </c>
      <c r="BX60" s="1">
        <v>0</v>
      </c>
      <c r="BY60" s="1">
        <f>BW60+BX60</f>
        <v>14</v>
      </c>
      <c r="BZ60" s="1">
        <v>14</v>
      </c>
      <c r="CA60" s="1">
        <v>0</v>
      </c>
      <c r="CB60" s="1">
        <f>BZ60+CA60</f>
        <v>14</v>
      </c>
      <c r="CC60" s="1">
        <f>BS60+BV60+BY60+CB60</f>
        <v>50</v>
      </c>
      <c r="CE60" s="7">
        <f>CC60+CD60</f>
        <v>50</v>
      </c>
      <c r="CF60" s="8">
        <v>6</v>
      </c>
      <c r="CG60" s="8">
        <v>9</v>
      </c>
      <c r="CH60" s="8">
        <v>17</v>
      </c>
      <c r="CI60" s="8">
        <v>18</v>
      </c>
      <c r="CJ60" s="8">
        <v>0</v>
      </c>
      <c r="CK60" s="8">
        <v>0</v>
      </c>
      <c r="CL60" s="8">
        <v>0</v>
      </c>
      <c r="CM60" s="8">
        <v>0</v>
      </c>
      <c r="CN60" s="1">
        <f>CF60+CG60+CH60+CI60+CJ60+CK60+CL60+CM60</f>
        <v>50</v>
      </c>
      <c r="CO60" s="1">
        <f>CN60/CE60</f>
        <v>1</v>
      </c>
      <c r="CP60" s="8">
        <v>3.8679999999999999</v>
      </c>
      <c r="CQ60" s="8">
        <v>5</v>
      </c>
      <c r="CR60" s="1">
        <f>CP60/CQ60</f>
        <v>0.77359999999999995</v>
      </c>
      <c r="CS60" s="1">
        <v>3.569</v>
      </c>
      <c r="CT60" s="8">
        <v>5</v>
      </c>
      <c r="CU60" s="1">
        <f>CS60/CT60</f>
        <v>0.71379999999999999</v>
      </c>
    </row>
    <row r="61" spans="1:99" x14ac:dyDescent="0.25">
      <c r="A61" s="1">
        <v>61</v>
      </c>
      <c r="B61" s="1">
        <v>59</v>
      </c>
      <c r="C61" s="2" t="s">
        <v>83</v>
      </c>
      <c r="D61" s="3" t="s">
        <v>27</v>
      </c>
      <c r="E61" s="1" t="str">
        <f t="shared" si="22"/>
        <v>f</v>
      </c>
      <c r="F61" s="1" t="str">
        <f t="shared" si="16"/>
        <v>C</v>
      </c>
      <c r="G61" s="1" t="str">
        <f t="shared" si="17"/>
        <v>A</v>
      </c>
      <c r="H61" s="1">
        <v>0</v>
      </c>
      <c r="I61" s="1">
        <v>0</v>
      </c>
      <c r="J61" s="8" t="s">
        <v>278</v>
      </c>
      <c r="K61" s="8">
        <v>3</v>
      </c>
      <c r="L61" s="8">
        <v>2</v>
      </c>
      <c r="M61" s="8">
        <v>2.6</v>
      </c>
      <c r="N61" s="8">
        <v>17.2</v>
      </c>
      <c r="O61" s="8">
        <v>1</v>
      </c>
      <c r="P61" s="1" t="s">
        <v>8</v>
      </c>
      <c r="Q61" s="3">
        <v>45665</v>
      </c>
      <c r="R61" s="3">
        <v>45666</v>
      </c>
      <c r="S61" s="3">
        <v>45656</v>
      </c>
      <c r="T61" s="3">
        <v>45657</v>
      </c>
      <c r="U61" s="1">
        <f t="shared" si="18"/>
        <v>9</v>
      </c>
      <c r="V61" s="3">
        <v>45683</v>
      </c>
      <c r="W61" s="1">
        <f t="shared" si="23"/>
        <v>17</v>
      </c>
      <c r="X61" s="3">
        <v>45689</v>
      </c>
      <c r="Y61" s="1">
        <f t="shared" si="24"/>
        <v>23</v>
      </c>
      <c r="Z61" s="1">
        <f>_xlfn.DAYS(BK61,X61)</f>
        <v>7</v>
      </c>
      <c r="AB61" s="3">
        <v>45702</v>
      </c>
      <c r="AD61" s="11" t="s">
        <v>86</v>
      </c>
      <c r="AE61" s="11">
        <v>45697</v>
      </c>
      <c r="AF61" s="1">
        <f t="shared" si="19"/>
        <v>31</v>
      </c>
      <c r="AG61" s="8">
        <v>0</v>
      </c>
      <c r="AH61" s="5">
        <v>0.71599999999999997</v>
      </c>
      <c r="AI61" s="1">
        <v>2</v>
      </c>
      <c r="AJ61" s="3">
        <v>45670</v>
      </c>
      <c r="AK61" s="5">
        <f t="shared" si="25"/>
        <v>7.6239999999999997</v>
      </c>
      <c r="AL61" s="5">
        <v>8.34</v>
      </c>
      <c r="AM61" s="1">
        <v>2</v>
      </c>
      <c r="AN61" s="3">
        <f t="shared" si="26"/>
        <v>45684</v>
      </c>
      <c r="AO61" s="8">
        <v>8.4640000000000004</v>
      </c>
      <c r="AP61" s="8">
        <v>2</v>
      </c>
      <c r="AQ61" s="3">
        <f t="shared" si="27"/>
        <v>45690</v>
      </c>
      <c r="AR61" s="5">
        <f t="shared" si="28"/>
        <v>7.7480000000000002</v>
      </c>
      <c r="AS61" s="1">
        <v>7</v>
      </c>
      <c r="AT61" s="1">
        <v>23</v>
      </c>
      <c r="AU61" s="1">
        <v>52</v>
      </c>
      <c r="AV61" s="1">
        <f t="shared" si="29"/>
        <v>82</v>
      </c>
      <c r="AW61" s="1">
        <v>97</v>
      </c>
      <c r="AX61" s="1">
        <v>209</v>
      </c>
      <c r="AY61" s="1">
        <v>249</v>
      </c>
      <c r="AZ61" s="1">
        <f t="shared" si="30"/>
        <v>555</v>
      </c>
      <c r="BA61" s="1">
        <v>44</v>
      </c>
      <c r="BB61" s="1">
        <v>2</v>
      </c>
      <c r="BC61" s="1">
        <v>0</v>
      </c>
      <c r="BD61" s="8" t="s">
        <v>12</v>
      </c>
      <c r="BE61" s="8" t="s">
        <v>12</v>
      </c>
      <c r="BF61" s="1" t="s">
        <v>12</v>
      </c>
      <c r="BG61" s="1" t="s">
        <v>12</v>
      </c>
      <c r="BH61" s="1" t="s">
        <v>12</v>
      </c>
      <c r="BI61" s="1">
        <f>BA61+BB61+BC61</f>
        <v>46</v>
      </c>
      <c r="BJ61" s="1">
        <f t="shared" si="31"/>
        <v>683</v>
      </c>
      <c r="BK61" s="3">
        <v>45696</v>
      </c>
      <c r="BL61" s="6"/>
      <c r="BM61" s="6" t="s">
        <v>84</v>
      </c>
      <c r="BN61" s="6" t="s">
        <v>207</v>
      </c>
      <c r="BO61" s="13">
        <v>29.33</v>
      </c>
      <c r="BP61" s="13">
        <v>30.27</v>
      </c>
      <c r="BQ61" s="1">
        <v>6</v>
      </c>
      <c r="BR61" s="1">
        <v>0</v>
      </c>
      <c r="BS61" s="1">
        <f>BQ61+BR61</f>
        <v>6</v>
      </c>
      <c r="BT61" s="1">
        <v>12</v>
      </c>
      <c r="BU61" s="1">
        <v>0</v>
      </c>
      <c r="BV61" s="1">
        <f>BT61+BU61</f>
        <v>12</v>
      </c>
      <c r="BW61" s="1">
        <v>8</v>
      </c>
      <c r="BX61" s="1">
        <v>0</v>
      </c>
      <c r="BY61" s="1">
        <f>BW61+BX61</f>
        <v>8</v>
      </c>
      <c r="BZ61" s="1">
        <v>7</v>
      </c>
      <c r="CA61" s="1">
        <v>0</v>
      </c>
      <c r="CB61" s="1">
        <f>BZ61+CA61</f>
        <v>7</v>
      </c>
      <c r="CC61" s="1">
        <f>BS61+BV61+BY61+CB61</f>
        <v>33</v>
      </c>
      <c r="CE61" s="7">
        <f>CC61+CD61</f>
        <v>33</v>
      </c>
      <c r="CF61" s="8">
        <v>1</v>
      </c>
      <c r="CG61" s="8">
        <v>8</v>
      </c>
      <c r="CH61" s="8">
        <v>13</v>
      </c>
      <c r="CI61" s="8">
        <v>5</v>
      </c>
      <c r="CJ61" s="8">
        <v>5</v>
      </c>
      <c r="CK61" s="8">
        <v>0</v>
      </c>
      <c r="CL61" s="8">
        <v>0</v>
      </c>
      <c r="CM61" s="8">
        <v>0</v>
      </c>
      <c r="CN61" s="1">
        <f>CF61+CG61+CH61+CI61+CJ61+CK61+CL61+CM61</f>
        <v>32</v>
      </c>
      <c r="CO61" s="1">
        <f>CN61/CE61</f>
        <v>0.96969696969696972</v>
      </c>
      <c r="CP61" s="8">
        <v>3.66</v>
      </c>
      <c r="CQ61" s="8">
        <v>4</v>
      </c>
      <c r="CR61" s="1">
        <f>CP61/CQ61</f>
        <v>0.91500000000000004</v>
      </c>
      <c r="CS61" s="1">
        <v>5.59</v>
      </c>
      <c r="CT61" s="8">
        <v>5</v>
      </c>
      <c r="CU61" s="1">
        <f>CS61/CT61</f>
        <v>1.1179999999999999</v>
      </c>
    </row>
    <row r="62" spans="1:99" x14ac:dyDescent="0.25">
      <c r="A62" s="1">
        <v>62</v>
      </c>
      <c r="B62" s="1">
        <v>60</v>
      </c>
      <c r="C62" s="2" t="s">
        <v>85</v>
      </c>
      <c r="D62" s="1" t="s">
        <v>280</v>
      </c>
      <c r="E62" s="1" t="s">
        <v>12</v>
      </c>
      <c r="F62" s="1" t="str">
        <f t="shared" si="16"/>
        <v>A</v>
      </c>
      <c r="G62" s="1" t="str">
        <f t="shared" si="17"/>
        <v>B</v>
      </c>
      <c r="H62" s="1">
        <v>1</v>
      </c>
      <c r="I62" s="1">
        <v>0</v>
      </c>
      <c r="J62" s="8" t="s">
        <v>278</v>
      </c>
      <c r="K62" s="8">
        <v>3</v>
      </c>
      <c r="L62" s="8">
        <v>2</v>
      </c>
      <c r="M62" s="8">
        <v>3.6</v>
      </c>
      <c r="N62" s="8">
        <v>17.2</v>
      </c>
      <c r="O62" s="8"/>
      <c r="P62" s="1" t="s">
        <v>8</v>
      </c>
      <c r="Q62" s="3">
        <v>45665</v>
      </c>
      <c r="R62" s="3">
        <v>45666</v>
      </c>
      <c r="S62" s="3">
        <v>45656</v>
      </c>
      <c r="T62" s="3">
        <v>45657</v>
      </c>
      <c r="U62" s="1">
        <f t="shared" si="18"/>
        <v>9</v>
      </c>
      <c r="V62" s="3">
        <v>45686</v>
      </c>
      <c r="W62" s="1">
        <f t="shared" si="23"/>
        <v>20</v>
      </c>
      <c r="X62" s="1" t="s">
        <v>12</v>
      </c>
      <c r="Y62" s="1" t="s">
        <v>12</v>
      </c>
      <c r="AA62" s="3">
        <v>45687</v>
      </c>
      <c r="AC62" s="4" t="s">
        <v>86</v>
      </c>
      <c r="AD62" s="11"/>
      <c r="AE62" s="11">
        <f>AA62</f>
        <v>45687</v>
      </c>
      <c r="AF62" s="1">
        <f t="shared" si="19"/>
        <v>21</v>
      </c>
      <c r="AG62" s="1">
        <v>0</v>
      </c>
      <c r="AH62" s="5">
        <v>0.59299999999999997</v>
      </c>
      <c r="AI62" s="1">
        <v>2</v>
      </c>
      <c r="AJ62" s="3">
        <v>45670</v>
      </c>
      <c r="AK62" s="5">
        <f t="shared" si="25"/>
        <v>6.3040000000000003</v>
      </c>
      <c r="AL62" s="5">
        <v>6.8970000000000002</v>
      </c>
      <c r="AM62" s="1">
        <v>2</v>
      </c>
      <c r="AN62" s="3">
        <f t="shared" si="26"/>
        <v>45687</v>
      </c>
      <c r="AO62" s="1" t="s">
        <v>12</v>
      </c>
      <c r="AP62" s="5" t="s">
        <v>12</v>
      </c>
      <c r="AQ62" s="3" t="s">
        <v>12</v>
      </c>
      <c r="AR62" s="1" t="s">
        <v>12</v>
      </c>
      <c r="AS62" s="1">
        <v>6</v>
      </c>
      <c r="AT62" s="1">
        <v>20</v>
      </c>
      <c r="AU62" s="1">
        <v>33</v>
      </c>
      <c r="AV62" s="1">
        <f t="shared" si="29"/>
        <v>59</v>
      </c>
      <c r="AW62" s="1">
        <v>37</v>
      </c>
      <c r="AX62" s="1">
        <v>68</v>
      </c>
      <c r="AY62" s="1">
        <v>233</v>
      </c>
      <c r="AZ62" s="1">
        <f t="shared" si="30"/>
        <v>338</v>
      </c>
      <c r="BA62" s="1">
        <v>216</v>
      </c>
      <c r="BB62" s="1">
        <v>10</v>
      </c>
      <c r="BC62" s="1">
        <v>4</v>
      </c>
      <c r="BD62" s="1">
        <v>0</v>
      </c>
      <c r="BE62" s="8" t="s">
        <v>12</v>
      </c>
      <c r="BF62" s="1" t="s">
        <v>12</v>
      </c>
      <c r="BG62" s="1" t="s">
        <v>12</v>
      </c>
      <c r="BH62" s="1" t="s">
        <v>12</v>
      </c>
      <c r="BI62" s="1">
        <f>BA62+BB62+BC62+BD62</f>
        <v>230</v>
      </c>
      <c r="BJ62" s="1">
        <f t="shared" si="31"/>
        <v>627</v>
      </c>
      <c r="BK62" s="3" t="s">
        <v>12</v>
      </c>
      <c r="BL62" s="10" t="s">
        <v>12</v>
      </c>
      <c r="BM62" s="10" t="s">
        <v>12</v>
      </c>
      <c r="BN62" s="14" t="s">
        <v>12</v>
      </c>
      <c r="BO62" s="13" t="s">
        <v>12</v>
      </c>
      <c r="BP62" s="13" t="s">
        <v>12</v>
      </c>
      <c r="BQ62" s="13" t="s">
        <v>12</v>
      </c>
      <c r="BR62" s="13" t="s">
        <v>12</v>
      </c>
      <c r="BS62" s="13" t="s">
        <v>12</v>
      </c>
      <c r="BT62" s="13" t="s">
        <v>12</v>
      </c>
      <c r="BU62" s="13" t="s">
        <v>12</v>
      </c>
      <c r="BV62" s="13" t="s">
        <v>12</v>
      </c>
      <c r="BW62" s="13" t="s">
        <v>12</v>
      </c>
      <c r="BX62" s="13" t="s">
        <v>12</v>
      </c>
      <c r="BY62" s="13" t="s">
        <v>12</v>
      </c>
      <c r="BZ62" s="13" t="s">
        <v>12</v>
      </c>
      <c r="CA62" s="13" t="s">
        <v>12</v>
      </c>
      <c r="CB62" s="13" t="s">
        <v>12</v>
      </c>
      <c r="CC62" s="13" t="s">
        <v>12</v>
      </c>
      <c r="CD62" s="13"/>
      <c r="CE62" s="13" t="s">
        <v>12</v>
      </c>
      <c r="CF62" s="13" t="s">
        <v>12</v>
      </c>
      <c r="CG62" s="13" t="s">
        <v>12</v>
      </c>
      <c r="CH62" s="13" t="s">
        <v>12</v>
      </c>
      <c r="CI62" s="13" t="s">
        <v>12</v>
      </c>
      <c r="CJ62" s="13" t="s">
        <v>12</v>
      </c>
      <c r="CK62" s="13" t="s">
        <v>12</v>
      </c>
      <c r="CL62" s="13" t="s">
        <v>12</v>
      </c>
      <c r="CM62" s="13" t="s">
        <v>12</v>
      </c>
      <c r="CN62" s="13" t="s">
        <v>12</v>
      </c>
      <c r="CO62" s="13" t="s">
        <v>12</v>
      </c>
    </row>
    <row r="63" spans="1:99" x14ac:dyDescent="0.25">
      <c r="A63" s="1">
        <v>63</v>
      </c>
      <c r="B63" s="1">
        <v>61</v>
      </c>
      <c r="C63" s="2" t="s">
        <v>87</v>
      </c>
      <c r="D63" s="1" t="s">
        <v>280</v>
      </c>
      <c r="E63" s="1" t="s">
        <v>12</v>
      </c>
      <c r="F63" s="1" t="str">
        <f t="shared" si="16"/>
        <v>C</v>
      </c>
      <c r="G63" s="1" t="str">
        <f t="shared" si="17"/>
        <v>A</v>
      </c>
      <c r="H63" s="1">
        <v>0</v>
      </c>
      <c r="I63" s="1">
        <v>0</v>
      </c>
      <c r="J63" s="8" t="s">
        <v>278</v>
      </c>
      <c r="K63" s="8">
        <v>3</v>
      </c>
      <c r="L63" s="8">
        <v>2</v>
      </c>
      <c r="M63" s="8">
        <v>3.6</v>
      </c>
      <c r="N63" s="8">
        <v>16.2</v>
      </c>
      <c r="O63" s="8"/>
      <c r="P63" s="1" t="s">
        <v>8</v>
      </c>
      <c r="Q63" s="3">
        <v>45665</v>
      </c>
      <c r="R63" s="3">
        <v>45666</v>
      </c>
      <c r="S63" s="3">
        <v>45656</v>
      </c>
      <c r="T63" s="3">
        <v>45657</v>
      </c>
      <c r="U63" s="1">
        <f t="shared" si="18"/>
        <v>9</v>
      </c>
      <c r="V63" s="3">
        <v>45687</v>
      </c>
      <c r="W63" s="1">
        <f t="shared" si="23"/>
        <v>21</v>
      </c>
      <c r="X63" s="1" t="s">
        <v>12</v>
      </c>
      <c r="Y63" s="1" t="s">
        <v>12</v>
      </c>
      <c r="AA63" s="3">
        <v>45691</v>
      </c>
      <c r="AC63" s="4" t="s">
        <v>86</v>
      </c>
      <c r="AD63" s="11"/>
      <c r="AE63" s="11">
        <f>AA63</f>
        <v>45691</v>
      </c>
      <c r="AF63" s="1">
        <f t="shared" si="19"/>
        <v>25</v>
      </c>
      <c r="AG63" s="1">
        <v>0</v>
      </c>
      <c r="AH63" s="5">
        <v>0.29699999999999999</v>
      </c>
      <c r="AI63" s="1">
        <v>2</v>
      </c>
      <c r="AJ63" s="3">
        <v>45670</v>
      </c>
      <c r="AK63" s="5">
        <f t="shared" si="25"/>
        <v>5.6420000000000003</v>
      </c>
      <c r="AL63" s="5">
        <v>5.9390000000000001</v>
      </c>
      <c r="AM63" s="1">
        <v>2</v>
      </c>
      <c r="AN63" s="3">
        <f t="shared" si="26"/>
        <v>45688</v>
      </c>
      <c r="AO63" s="1" t="s">
        <v>12</v>
      </c>
      <c r="AP63" s="5" t="s">
        <v>12</v>
      </c>
      <c r="AQ63" s="3" t="s">
        <v>12</v>
      </c>
      <c r="AR63" s="1" t="s">
        <v>12</v>
      </c>
      <c r="AS63" s="1">
        <v>2</v>
      </c>
      <c r="AT63" s="1">
        <v>9</v>
      </c>
      <c r="AU63" s="1">
        <v>14</v>
      </c>
      <c r="AV63" s="1">
        <f t="shared" si="29"/>
        <v>25</v>
      </c>
      <c r="AW63" s="1">
        <v>19</v>
      </c>
      <c r="AX63" s="1">
        <v>40</v>
      </c>
      <c r="AY63" s="1">
        <v>50</v>
      </c>
      <c r="AZ63" s="1">
        <f t="shared" si="30"/>
        <v>109</v>
      </c>
      <c r="BA63" s="1">
        <v>111</v>
      </c>
      <c r="BB63" s="1">
        <v>143</v>
      </c>
      <c r="BC63" s="1">
        <v>58</v>
      </c>
      <c r="BD63" s="8" t="s">
        <v>12</v>
      </c>
      <c r="BE63" s="8" t="s">
        <v>12</v>
      </c>
      <c r="BF63" s="1" t="s">
        <v>12</v>
      </c>
      <c r="BG63" s="1" t="s">
        <v>12</v>
      </c>
      <c r="BH63" s="1" t="s">
        <v>12</v>
      </c>
      <c r="BI63" s="1">
        <f>BA63+BB63+BC63</f>
        <v>312</v>
      </c>
      <c r="BJ63" s="1">
        <f t="shared" si="31"/>
        <v>446</v>
      </c>
      <c r="BK63" s="3" t="s">
        <v>12</v>
      </c>
      <c r="BL63" s="10" t="s">
        <v>12</v>
      </c>
      <c r="BM63" s="10" t="s">
        <v>12</v>
      </c>
      <c r="BN63" s="14" t="s">
        <v>12</v>
      </c>
      <c r="BO63" s="13" t="s">
        <v>12</v>
      </c>
      <c r="BP63" s="13" t="s">
        <v>12</v>
      </c>
      <c r="BQ63" s="13" t="s">
        <v>12</v>
      </c>
      <c r="BR63" s="13" t="s">
        <v>12</v>
      </c>
      <c r="BS63" s="13" t="s">
        <v>12</v>
      </c>
      <c r="BT63" s="13" t="s">
        <v>12</v>
      </c>
      <c r="BU63" s="13" t="s">
        <v>12</v>
      </c>
      <c r="BV63" s="13" t="s">
        <v>12</v>
      </c>
      <c r="BW63" s="13" t="s">
        <v>12</v>
      </c>
      <c r="BX63" s="13" t="s">
        <v>12</v>
      </c>
      <c r="BY63" s="13" t="s">
        <v>12</v>
      </c>
      <c r="BZ63" s="13" t="s">
        <v>12</v>
      </c>
      <c r="CA63" s="13" t="s">
        <v>12</v>
      </c>
      <c r="CB63" s="13" t="s">
        <v>12</v>
      </c>
      <c r="CC63" s="13" t="s">
        <v>12</v>
      </c>
      <c r="CD63" s="13"/>
      <c r="CE63" s="13" t="s">
        <v>12</v>
      </c>
      <c r="CF63" s="13" t="s">
        <v>12</v>
      </c>
      <c r="CG63" s="13" t="s">
        <v>12</v>
      </c>
      <c r="CH63" s="13" t="s">
        <v>12</v>
      </c>
      <c r="CI63" s="13" t="s">
        <v>12</v>
      </c>
      <c r="CJ63" s="13" t="s">
        <v>12</v>
      </c>
      <c r="CK63" s="13" t="s">
        <v>12</v>
      </c>
      <c r="CL63" s="13" t="s">
        <v>12</v>
      </c>
      <c r="CM63" s="13" t="s">
        <v>12</v>
      </c>
      <c r="CN63" s="13" t="s">
        <v>12</v>
      </c>
      <c r="CO63" s="13" t="s">
        <v>12</v>
      </c>
    </row>
    <row r="64" spans="1:99" x14ac:dyDescent="0.25">
      <c r="A64" s="1">
        <v>64</v>
      </c>
      <c r="B64" s="1">
        <v>62</v>
      </c>
      <c r="C64" s="2" t="s">
        <v>88</v>
      </c>
      <c r="D64" s="3" t="s">
        <v>10</v>
      </c>
      <c r="E64" s="1" t="str">
        <f>D64</f>
        <v>m</v>
      </c>
      <c r="F64" s="1" t="str">
        <f t="shared" si="16"/>
        <v>I</v>
      </c>
      <c r="G64" s="1" t="str">
        <f t="shared" si="17"/>
        <v>C</v>
      </c>
      <c r="H64" s="1">
        <v>0</v>
      </c>
      <c r="I64" s="1">
        <v>1</v>
      </c>
      <c r="J64" s="8" t="s">
        <v>278</v>
      </c>
      <c r="K64" s="8">
        <v>3</v>
      </c>
      <c r="L64" s="8">
        <v>2</v>
      </c>
      <c r="M64" s="8">
        <v>3.6</v>
      </c>
      <c r="N64" s="8">
        <v>15.2</v>
      </c>
      <c r="O64" s="8">
        <v>1</v>
      </c>
      <c r="P64" s="1" t="s">
        <v>8</v>
      </c>
      <c r="Q64" s="3">
        <v>45665</v>
      </c>
      <c r="R64" s="3">
        <v>45666</v>
      </c>
      <c r="S64" s="3">
        <v>45656</v>
      </c>
      <c r="T64" s="3">
        <v>45657</v>
      </c>
      <c r="U64" s="1">
        <f t="shared" si="18"/>
        <v>9</v>
      </c>
      <c r="V64" s="3">
        <v>45682</v>
      </c>
      <c r="W64" s="1">
        <f t="shared" si="23"/>
        <v>16</v>
      </c>
      <c r="X64" s="3">
        <v>45688</v>
      </c>
      <c r="Y64" s="1">
        <f>_xlfn.DAYS(X64,R64)</f>
        <v>22</v>
      </c>
      <c r="Z64" s="1">
        <f>_xlfn.DAYS(BK64,X64)</f>
        <v>8</v>
      </c>
      <c r="AB64" s="3">
        <v>45698</v>
      </c>
      <c r="AD64" s="11" t="s">
        <v>86</v>
      </c>
      <c r="AE64" s="11">
        <v>45697</v>
      </c>
      <c r="AF64" s="1">
        <f t="shared" si="19"/>
        <v>31</v>
      </c>
      <c r="AG64" s="8">
        <v>0</v>
      </c>
      <c r="AH64" s="5">
        <v>0.84399999999999997</v>
      </c>
      <c r="AI64" s="1">
        <v>2</v>
      </c>
      <c r="AJ64" s="3">
        <v>45670</v>
      </c>
      <c r="AK64" s="5">
        <f t="shared" si="25"/>
        <v>5.5139999999999993</v>
      </c>
      <c r="AL64" s="5">
        <v>6.3579999999999997</v>
      </c>
      <c r="AM64" s="1">
        <v>2</v>
      </c>
      <c r="AN64" s="3">
        <f t="shared" si="26"/>
        <v>45683</v>
      </c>
      <c r="AO64" s="1">
        <v>6.2530000000000001</v>
      </c>
      <c r="AP64" s="8">
        <v>2</v>
      </c>
      <c r="AQ64" s="3">
        <f>X64+1</f>
        <v>45689</v>
      </c>
      <c r="AR64" s="5">
        <f>AO64-AH64</f>
        <v>5.4089999999999998</v>
      </c>
      <c r="AS64" s="1">
        <v>12</v>
      </c>
      <c r="AT64" s="1">
        <v>28</v>
      </c>
      <c r="AU64" s="1">
        <v>76</v>
      </c>
      <c r="AV64" s="1">
        <f t="shared" si="29"/>
        <v>116</v>
      </c>
      <c r="AW64" s="1">
        <v>122</v>
      </c>
      <c r="AX64" s="1">
        <v>253</v>
      </c>
      <c r="AY64" s="1">
        <v>88</v>
      </c>
      <c r="AZ64" s="1">
        <f t="shared" si="30"/>
        <v>463</v>
      </c>
      <c r="BA64" s="1">
        <v>4</v>
      </c>
      <c r="BB64" s="1">
        <v>0</v>
      </c>
      <c r="BC64" s="1" t="s">
        <v>12</v>
      </c>
      <c r="BD64" s="1" t="s">
        <v>12</v>
      </c>
      <c r="BE64" s="1" t="s">
        <v>12</v>
      </c>
      <c r="BF64" s="1" t="s">
        <v>12</v>
      </c>
      <c r="BG64" s="1" t="s">
        <v>12</v>
      </c>
      <c r="BH64" s="1" t="s">
        <v>12</v>
      </c>
      <c r="BI64" s="1">
        <f>BA64+BB64</f>
        <v>4</v>
      </c>
      <c r="BJ64" s="1">
        <f t="shared" si="31"/>
        <v>583</v>
      </c>
      <c r="BK64" s="3">
        <v>45696</v>
      </c>
      <c r="BL64" s="6" t="s">
        <v>89</v>
      </c>
      <c r="BM64" s="6"/>
      <c r="BN64" s="6" t="s">
        <v>208</v>
      </c>
      <c r="BO64" s="13">
        <v>55.05</v>
      </c>
      <c r="BP64" s="13">
        <v>4.55</v>
      </c>
      <c r="BQ64" s="1">
        <v>4</v>
      </c>
      <c r="BR64" s="1">
        <v>0</v>
      </c>
      <c r="BS64" s="1">
        <f>BQ64+BR64</f>
        <v>4</v>
      </c>
      <c r="BT64" s="1">
        <v>7</v>
      </c>
      <c r="BU64" s="1">
        <v>0</v>
      </c>
      <c r="BV64" s="1">
        <f>BT64+BU64</f>
        <v>7</v>
      </c>
      <c r="BW64" s="1">
        <v>7</v>
      </c>
      <c r="BX64" s="1">
        <v>0</v>
      </c>
      <c r="BY64" s="1">
        <f>BW64+BX64</f>
        <v>7</v>
      </c>
      <c r="BZ64" s="1">
        <v>6</v>
      </c>
      <c r="CA64" s="1">
        <v>0</v>
      </c>
      <c r="CB64" s="1">
        <f>BZ64+CA64</f>
        <v>6</v>
      </c>
      <c r="CC64" s="1">
        <f>BS64+BV64+BY64+CB64</f>
        <v>24</v>
      </c>
      <c r="CE64" s="7">
        <f>CC64+CD64</f>
        <v>24</v>
      </c>
      <c r="CF64" s="8">
        <v>2</v>
      </c>
      <c r="CG64" s="8">
        <v>6</v>
      </c>
      <c r="CH64" s="8">
        <v>5</v>
      </c>
      <c r="CI64" s="8">
        <v>5</v>
      </c>
      <c r="CJ64" s="8">
        <v>1</v>
      </c>
      <c r="CK64" s="8">
        <v>0</v>
      </c>
      <c r="CL64" s="8">
        <v>0</v>
      </c>
      <c r="CM64" s="8">
        <v>0</v>
      </c>
      <c r="CN64" s="1">
        <f>CF64+CG64+CH64+CI64+CJ64+CK64+CL64+CM64</f>
        <v>19</v>
      </c>
      <c r="CO64" s="1">
        <f>CN64/CE64</f>
        <v>0.79166666666666663</v>
      </c>
      <c r="CP64" s="8">
        <v>5.2309999999999999</v>
      </c>
      <c r="CQ64" s="8">
        <v>5</v>
      </c>
      <c r="CR64" s="1">
        <f>CP64/CQ64</f>
        <v>1.0462</v>
      </c>
      <c r="CS64" s="1">
        <v>3.1139999999999999</v>
      </c>
      <c r="CT64" s="8">
        <v>3</v>
      </c>
      <c r="CU64" s="1">
        <f>CS64/CT64</f>
        <v>1.038</v>
      </c>
    </row>
    <row r="65" spans="1:99" x14ac:dyDescent="0.25">
      <c r="A65" s="1">
        <v>65</v>
      </c>
      <c r="B65" s="1">
        <v>63</v>
      </c>
      <c r="C65" s="2" t="s">
        <v>90</v>
      </c>
      <c r="D65" s="1" t="s">
        <v>280</v>
      </c>
      <c r="E65" s="1" t="s">
        <v>12</v>
      </c>
      <c r="F65" s="1" t="str">
        <f t="shared" si="16"/>
        <v>M</v>
      </c>
      <c r="G65" s="1" t="str">
        <f t="shared" si="17"/>
        <v>D</v>
      </c>
      <c r="H65" s="1">
        <v>1</v>
      </c>
      <c r="I65" s="1">
        <v>1</v>
      </c>
      <c r="J65" s="8" t="s">
        <v>276</v>
      </c>
      <c r="K65" s="8">
        <v>3</v>
      </c>
      <c r="L65" s="8">
        <v>2</v>
      </c>
      <c r="M65" s="8">
        <v>3.6</v>
      </c>
      <c r="N65" s="8">
        <v>14.2</v>
      </c>
      <c r="O65" s="8"/>
      <c r="P65" s="1" t="s">
        <v>8</v>
      </c>
      <c r="Q65" s="3">
        <v>45665</v>
      </c>
      <c r="R65" s="3">
        <v>45666</v>
      </c>
      <c r="S65" s="3">
        <v>45656</v>
      </c>
      <c r="T65" s="3">
        <v>45657</v>
      </c>
      <c r="U65" s="1">
        <f t="shared" si="18"/>
        <v>9</v>
      </c>
      <c r="V65" s="1" t="s">
        <v>12</v>
      </c>
      <c r="W65" s="1" t="s">
        <v>12</v>
      </c>
      <c r="X65" s="1" t="s">
        <v>12</v>
      </c>
      <c r="Y65" s="1" t="s">
        <v>12</v>
      </c>
      <c r="AA65" s="3">
        <v>45674</v>
      </c>
      <c r="AE65" s="11">
        <f>AA65</f>
        <v>45674</v>
      </c>
      <c r="AF65" s="1">
        <f t="shared" si="19"/>
        <v>8</v>
      </c>
      <c r="AG65" s="8">
        <v>1</v>
      </c>
      <c r="AH65" s="5">
        <v>1.087</v>
      </c>
      <c r="AI65" s="1">
        <v>2</v>
      </c>
      <c r="AJ65" s="3">
        <v>45670</v>
      </c>
      <c r="AK65" s="5" t="s">
        <v>12</v>
      </c>
      <c r="AL65" s="5" t="s">
        <v>12</v>
      </c>
      <c r="AM65" s="1" t="s">
        <v>12</v>
      </c>
      <c r="AN65" s="3" t="s">
        <v>12</v>
      </c>
      <c r="AO65" s="1" t="s">
        <v>12</v>
      </c>
      <c r="AP65" s="5" t="s">
        <v>12</v>
      </c>
      <c r="AQ65" s="3" t="s">
        <v>12</v>
      </c>
      <c r="AR65" s="1" t="s">
        <v>12</v>
      </c>
      <c r="AS65" s="1">
        <v>15</v>
      </c>
      <c r="AT65" s="1">
        <v>44</v>
      </c>
      <c r="AU65" s="1">
        <v>142</v>
      </c>
      <c r="AV65" s="1">
        <f t="shared" si="29"/>
        <v>201</v>
      </c>
      <c r="AW65" s="1">
        <v>7</v>
      </c>
      <c r="AX65" s="1" t="s">
        <v>12</v>
      </c>
      <c r="AY65" s="1" t="s">
        <v>12</v>
      </c>
      <c r="AZ65" s="1">
        <f>AW65</f>
        <v>7</v>
      </c>
      <c r="BA65" s="1" t="s">
        <v>12</v>
      </c>
      <c r="BB65" s="1" t="s">
        <v>12</v>
      </c>
      <c r="BC65" s="1" t="s">
        <v>12</v>
      </c>
      <c r="BD65" s="1" t="s">
        <v>12</v>
      </c>
      <c r="BE65" s="1" t="s">
        <v>12</v>
      </c>
      <c r="BF65" s="1" t="s">
        <v>12</v>
      </c>
      <c r="BG65" s="1" t="s">
        <v>12</v>
      </c>
      <c r="BH65" s="1" t="s">
        <v>12</v>
      </c>
      <c r="BI65" s="1" t="s">
        <v>12</v>
      </c>
      <c r="BJ65" s="1" t="s">
        <v>12</v>
      </c>
      <c r="BK65" s="3" t="s">
        <v>12</v>
      </c>
      <c r="BL65" s="10" t="s">
        <v>12</v>
      </c>
      <c r="BM65" s="10" t="s">
        <v>12</v>
      </c>
      <c r="BN65" s="14" t="s">
        <v>12</v>
      </c>
      <c r="BO65" s="13" t="s">
        <v>12</v>
      </c>
      <c r="BP65" s="13" t="s">
        <v>12</v>
      </c>
      <c r="BQ65" s="13" t="s">
        <v>12</v>
      </c>
      <c r="BR65" s="13" t="s">
        <v>12</v>
      </c>
      <c r="BS65" s="13" t="s">
        <v>12</v>
      </c>
      <c r="BT65" s="13" t="s">
        <v>12</v>
      </c>
      <c r="BU65" s="13" t="s">
        <v>12</v>
      </c>
      <c r="BV65" s="13" t="s">
        <v>12</v>
      </c>
      <c r="BW65" s="13" t="s">
        <v>12</v>
      </c>
      <c r="BX65" s="13" t="s">
        <v>12</v>
      </c>
      <c r="BY65" s="13" t="s">
        <v>12</v>
      </c>
      <c r="BZ65" s="13" t="s">
        <v>12</v>
      </c>
      <c r="CA65" s="13" t="s">
        <v>12</v>
      </c>
      <c r="CB65" s="13" t="s">
        <v>12</v>
      </c>
      <c r="CC65" s="13" t="s">
        <v>12</v>
      </c>
      <c r="CD65" s="13"/>
      <c r="CE65" s="13" t="s">
        <v>12</v>
      </c>
      <c r="CF65" s="13" t="s">
        <v>12</v>
      </c>
      <c r="CG65" s="13" t="s">
        <v>12</v>
      </c>
      <c r="CH65" s="13" t="s">
        <v>12</v>
      </c>
      <c r="CI65" s="13" t="s">
        <v>12</v>
      </c>
      <c r="CJ65" s="13" t="s">
        <v>12</v>
      </c>
      <c r="CK65" s="13" t="s">
        <v>12</v>
      </c>
      <c r="CL65" s="13" t="s">
        <v>12</v>
      </c>
      <c r="CM65" s="13" t="s">
        <v>12</v>
      </c>
      <c r="CN65" s="13" t="s">
        <v>12</v>
      </c>
      <c r="CO65" s="13" t="s">
        <v>12</v>
      </c>
    </row>
    <row r="66" spans="1:99" x14ac:dyDescent="0.25">
      <c r="A66" s="1">
        <v>66</v>
      </c>
      <c r="B66" s="1">
        <v>64</v>
      </c>
      <c r="C66" s="2" t="s">
        <v>91</v>
      </c>
      <c r="D66" s="3" t="s">
        <v>10</v>
      </c>
      <c r="E66" s="1" t="str">
        <f>D66</f>
        <v>m</v>
      </c>
      <c r="F66" s="1" t="str">
        <f t="shared" ref="F66:F97" si="32">MID(C66,1,1)</f>
        <v>C</v>
      </c>
      <c r="G66" s="1" t="str">
        <f t="shared" ref="G66:G97" si="33">IF(F66="C","A",IF(F66="A","B",IF(F66="I","C",IF(F66="M","D"))))</f>
        <v>A</v>
      </c>
      <c r="H66" s="1">
        <v>0</v>
      </c>
      <c r="I66" s="1">
        <v>0</v>
      </c>
      <c r="J66" s="8" t="s">
        <v>278</v>
      </c>
      <c r="K66" s="8">
        <v>3</v>
      </c>
      <c r="L66" s="8">
        <v>2</v>
      </c>
      <c r="M66" s="8">
        <v>4.5999999999999996</v>
      </c>
      <c r="N66" s="1">
        <v>14.2</v>
      </c>
      <c r="O66" s="8">
        <v>1</v>
      </c>
      <c r="P66" s="1" t="s">
        <v>8</v>
      </c>
      <c r="Q66" s="3">
        <v>45665</v>
      </c>
      <c r="R66" s="3">
        <v>45666</v>
      </c>
      <c r="S66" s="3">
        <v>45656</v>
      </c>
      <c r="T66" s="3">
        <v>45657</v>
      </c>
      <c r="U66" s="1">
        <f t="shared" ref="U66:U97" si="34">_xlfn.DAYS(R66,T66)</f>
        <v>9</v>
      </c>
      <c r="V66" s="3">
        <v>45682</v>
      </c>
      <c r="W66" s="1">
        <f>_xlfn.DAYS(V66,R66)</f>
        <v>16</v>
      </c>
      <c r="X66" s="3">
        <v>45688</v>
      </c>
      <c r="Y66" s="1">
        <f>_xlfn.DAYS(X66,R66)</f>
        <v>22</v>
      </c>
      <c r="Z66" s="1">
        <f>_xlfn.DAYS(BK66,X66)</f>
        <v>7</v>
      </c>
      <c r="AB66" s="3">
        <v>45697</v>
      </c>
      <c r="AD66" s="11" t="s">
        <v>86</v>
      </c>
      <c r="AE66" s="11">
        <v>45697</v>
      </c>
      <c r="AF66" s="1">
        <f t="shared" ref="AF66:AF91" si="35">_xlfn.DAYS(AE66,R66)</f>
        <v>31</v>
      </c>
      <c r="AG66" s="8">
        <v>0</v>
      </c>
      <c r="AH66" s="5">
        <v>0.97</v>
      </c>
      <c r="AI66" s="1">
        <v>2</v>
      </c>
      <c r="AJ66" s="3">
        <v>45670</v>
      </c>
      <c r="AK66" s="5">
        <f>AL66-AH66</f>
        <v>5.5910000000000002</v>
      </c>
      <c r="AL66" s="5">
        <v>6.5609999999999999</v>
      </c>
      <c r="AM66" s="1">
        <v>2</v>
      </c>
      <c r="AN66" s="3">
        <f>V66+1</f>
        <v>45683</v>
      </c>
      <c r="AO66" s="1">
        <v>5.67</v>
      </c>
      <c r="AP66" s="8">
        <v>2</v>
      </c>
      <c r="AQ66" s="3">
        <f>X66+1</f>
        <v>45689</v>
      </c>
      <c r="AR66" s="5">
        <f>AO66-AH66</f>
        <v>4.7</v>
      </c>
      <c r="AS66" s="1">
        <v>14</v>
      </c>
      <c r="AT66" s="1">
        <v>36</v>
      </c>
      <c r="AU66" s="1">
        <v>75</v>
      </c>
      <c r="AV66" s="1">
        <f t="shared" si="29"/>
        <v>125</v>
      </c>
      <c r="AW66" s="1">
        <v>83</v>
      </c>
      <c r="AX66" s="1">
        <v>319</v>
      </c>
      <c r="AY66" s="1">
        <v>137</v>
      </c>
      <c r="AZ66" s="1">
        <f>SUM(AW66+AX66+AY66)</f>
        <v>539</v>
      </c>
      <c r="BA66" s="1">
        <v>0</v>
      </c>
      <c r="BB66" s="1">
        <v>0</v>
      </c>
      <c r="BC66" s="1" t="s">
        <v>12</v>
      </c>
      <c r="BD66" s="1" t="s">
        <v>12</v>
      </c>
      <c r="BE66" s="1" t="s">
        <v>12</v>
      </c>
      <c r="BF66" s="1" t="s">
        <v>12</v>
      </c>
      <c r="BG66" s="1" t="s">
        <v>12</v>
      </c>
      <c r="BH66" s="1" t="s">
        <v>12</v>
      </c>
      <c r="BI66" s="1">
        <f>BA66+BB66</f>
        <v>0</v>
      </c>
      <c r="BJ66" s="1">
        <f>AV66+AZ66+BI66</f>
        <v>664</v>
      </c>
      <c r="BK66" s="3">
        <v>45695</v>
      </c>
      <c r="BL66" s="6" t="s">
        <v>92</v>
      </c>
      <c r="BM66" s="6"/>
      <c r="BN66" s="6" t="s">
        <v>196</v>
      </c>
      <c r="BO66" s="13">
        <v>38.32</v>
      </c>
      <c r="BP66" s="13">
        <v>21.28</v>
      </c>
      <c r="BQ66" s="1">
        <v>9</v>
      </c>
      <c r="BR66" s="1">
        <v>0</v>
      </c>
      <c r="BS66" s="1">
        <f>BQ66+BR66</f>
        <v>9</v>
      </c>
      <c r="BT66" s="1">
        <v>10</v>
      </c>
      <c r="BU66" s="1">
        <v>1</v>
      </c>
      <c r="BV66" s="1">
        <f>BT66+BU66</f>
        <v>11</v>
      </c>
      <c r="BW66" s="1">
        <v>10</v>
      </c>
      <c r="BX66" s="1">
        <v>0</v>
      </c>
      <c r="BY66" s="1">
        <f>BW66+BX66</f>
        <v>10</v>
      </c>
      <c r="BZ66" s="1">
        <v>9</v>
      </c>
      <c r="CA66" s="1">
        <v>2</v>
      </c>
      <c r="CB66" s="1">
        <f>BZ66+CA66</f>
        <v>11</v>
      </c>
      <c r="CC66" s="1">
        <f>BS66+BV66+BY66+CB66</f>
        <v>41</v>
      </c>
      <c r="CE66" s="7">
        <f>CC66+CD66</f>
        <v>41</v>
      </c>
      <c r="CF66" s="8">
        <v>5</v>
      </c>
      <c r="CG66" s="8">
        <v>8</v>
      </c>
      <c r="CH66" s="8">
        <v>5</v>
      </c>
      <c r="CI66" s="8">
        <v>13</v>
      </c>
      <c r="CJ66" s="8">
        <v>5</v>
      </c>
      <c r="CK66" s="8">
        <v>0</v>
      </c>
      <c r="CL66" s="8">
        <v>3</v>
      </c>
      <c r="CM66" s="8">
        <v>0</v>
      </c>
      <c r="CN66" s="1">
        <f>CF66+CG66+CH66+CI66+CJ66+CK66+CL66+CM66</f>
        <v>39</v>
      </c>
      <c r="CO66" s="1">
        <f>CN66/CE66</f>
        <v>0.95121951219512191</v>
      </c>
      <c r="CP66" s="8">
        <v>5.5209999999999999</v>
      </c>
      <c r="CQ66" s="8">
        <v>5</v>
      </c>
      <c r="CR66" s="1">
        <f>CP66/CQ66</f>
        <v>1.1042000000000001</v>
      </c>
      <c r="CS66" s="1">
        <v>3.3919999999999999</v>
      </c>
      <c r="CT66" s="8">
        <v>5</v>
      </c>
      <c r="CU66" s="1">
        <f>CS66/CT66</f>
        <v>0.6784</v>
      </c>
    </row>
    <row r="67" spans="1:99" x14ac:dyDescent="0.25">
      <c r="A67" s="1">
        <v>67</v>
      </c>
      <c r="B67" s="1">
        <v>65</v>
      </c>
      <c r="C67" s="2" t="s">
        <v>93</v>
      </c>
      <c r="D67" s="3" t="s">
        <v>10</v>
      </c>
      <c r="E67" s="1" t="str">
        <f>D67</f>
        <v>m</v>
      </c>
      <c r="F67" s="1" t="str">
        <f t="shared" si="32"/>
        <v>I</v>
      </c>
      <c r="G67" s="1" t="str">
        <f t="shared" si="33"/>
        <v>C</v>
      </c>
      <c r="H67" s="1">
        <v>0</v>
      </c>
      <c r="I67" s="1">
        <v>1</v>
      </c>
      <c r="J67" s="8" t="s">
        <v>278</v>
      </c>
      <c r="K67" s="8">
        <v>3</v>
      </c>
      <c r="L67" s="8">
        <v>2</v>
      </c>
      <c r="M67" s="8">
        <v>4.5999999999999996</v>
      </c>
      <c r="N67" s="8">
        <v>15.2</v>
      </c>
      <c r="O67" s="8">
        <v>1</v>
      </c>
      <c r="P67" s="1" t="s">
        <v>8</v>
      </c>
      <c r="Q67" s="3">
        <v>45665</v>
      </c>
      <c r="R67" s="3">
        <v>45666</v>
      </c>
      <c r="S67" s="3">
        <v>45656</v>
      </c>
      <c r="T67" s="3">
        <v>45657</v>
      </c>
      <c r="U67" s="1">
        <f t="shared" si="34"/>
        <v>9</v>
      </c>
      <c r="V67" s="3">
        <v>45686</v>
      </c>
      <c r="W67" s="1">
        <f>_xlfn.DAYS(V67,R67)</f>
        <v>20</v>
      </c>
      <c r="X67" s="3">
        <v>45691</v>
      </c>
      <c r="Y67" s="1">
        <f>_xlfn.DAYS(X67,R67)</f>
        <v>25</v>
      </c>
      <c r="Z67" s="1">
        <f>_xlfn.DAYS(BK67,X67)</f>
        <v>7</v>
      </c>
      <c r="AB67" s="3">
        <v>45700</v>
      </c>
      <c r="AD67" s="11" t="s">
        <v>86</v>
      </c>
      <c r="AE67" s="11">
        <v>45697</v>
      </c>
      <c r="AF67" s="1">
        <f t="shared" si="35"/>
        <v>31</v>
      </c>
      <c r="AG67" s="8">
        <v>0</v>
      </c>
      <c r="AH67" s="5">
        <v>1.1339999999999999</v>
      </c>
      <c r="AI67" s="1">
        <v>2</v>
      </c>
      <c r="AJ67" s="3">
        <v>45670</v>
      </c>
      <c r="AK67" s="5">
        <f>AL67-AH67</f>
        <v>5.1820000000000004</v>
      </c>
      <c r="AL67" s="5">
        <v>6.3159999999999998</v>
      </c>
      <c r="AM67" s="1">
        <v>2</v>
      </c>
      <c r="AN67" s="3">
        <f>V67+1</f>
        <v>45687</v>
      </c>
      <c r="AO67" s="1">
        <v>5.7939999999999996</v>
      </c>
      <c r="AP67" s="8">
        <v>2</v>
      </c>
      <c r="AQ67" s="3">
        <f>X67+1</f>
        <v>45692</v>
      </c>
      <c r="AR67" s="5">
        <f>AO67-AH67</f>
        <v>4.66</v>
      </c>
      <c r="AS67" s="1">
        <v>15</v>
      </c>
      <c r="AT67" s="1">
        <v>35</v>
      </c>
      <c r="AU67" s="1">
        <v>72</v>
      </c>
      <c r="AV67" s="1">
        <f t="shared" si="29"/>
        <v>122</v>
      </c>
      <c r="AW67" s="1">
        <v>6</v>
      </c>
      <c r="AX67" s="1">
        <v>59</v>
      </c>
      <c r="AY67" s="1">
        <v>188</v>
      </c>
      <c r="AZ67" s="1">
        <f>SUM(AW67+AX67+AY67)</f>
        <v>253</v>
      </c>
      <c r="BA67" s="1">
        <v>173</v>
      </c>
      <c r="BB67" s="1">
        <v>11</v>
      </c>
      <c r="BC67" s="1">
        <v>0</v>
      </c>
      <c r="BD67" s="1">
        <v>0</v>
      </c>
      <c r="BE67" s="8" t="s">
        <v>12</v>
      </c>
      <c r="BF67" s="1" t="s">
        <v>12</v>
      </c>
      <c r="BG67" s="1" t="s">
        <v>12</v>
      </c>
      <c r="BH67" s="1" t="s">
        <v>12</v>
      </c>
      <c r="BI67" s="1">
        <f>BA67+BB67+BC67+BD67</f>
        <v>184</v>
      </c>
      <c r="BJ67" s="1">
        <f>AV67+AZ67+BI67</f>
        <v>559</v>
      </c>
      <c r="BK67" s="3">
        <v>45698</v>
      </c>
      <c r="BL67" s="6" t="s">
        <v>94</v>
      </c>
      <c r="BM67" s="6"/>
      <c r="BN67" s="6" t="s">
        <v>220</v>
      </c>
      <c r="BO67" s="13">
        <v>0</v>
      </c>
      <c r="BP67" s="13">
        <v>60</v>
      </c>
      <c r="BQ67" s="1">
        <v>3</v>
      </c>
      <c r="BR67" s="1">
        <v>0</v>
      </c>
      <c r="BS67" s="1">
        <f>BQ67+BR67</f>
        <v>3</v>
      </c>
      <c r="BT67" s="1">
        <v>16</v>
      </c>
      <c r="BU67" s="1">
        <v>0</v>
      </c>
      <c r="BV67" s="1">
        <f>BT67+BU67</f>
        <v>16</v>
      </c>
      <c r="BW67" s="1">
        <v>16</v>
      </c>
      <c r="BX67" s="1">
        <v>0</v>
      </c>
      <c r="BY67" s="1">
        <f>BW67+BX67</f>
        <v>16</v>
      </c>
      <c r="BZ67" s="1">
        <v>16</v>
      </c>
      <c r="CA67" s="1">
        <v>0</v>
      </c>
      <c r="CB67" s="1">
        <f>BZ67+CA67</f>
        <v>16</v>
      </c>
      <c r="CC67" s="1">
        <f>BS67+BV67+BY67+CB67</f>
        <v>51</v>
      </c>
      <c r="CE67" s="7">
        <f>CC67+CD67</f>
        <v>51</v>
      </c>
      <c r="CF67" s="8">
        <v>1</v>
      </c>
      <c r="CG67" s="8">
        <v>7</v>
      </c>
      <c r="CH67" s="8">
        <v>14</v>
      </c>
      <c r="CI67" s="8">
        <v>23</v>
      </c>
      <c r="CJ67" s="8">
        <v>2</v>
      </c>
      <c r="CK67" s="8">
        <v>0</v>
      </c>
      <c r="CL67" s="8">
        <v>0</v>
      </c>
      <c r="CM67" s="8">
        <v>0</v>
      </c>
      <c r="CN67" s="1">
        <f>CF67+CG67+CH67+CI67+CJ67+CK67+CL67+CM67</f>
        <v>47</v>
      </c>
      <c r="CO67" s="1">
        <f>CN67/CE67</f>
        <v>0.92156862745098034</v>
      </c>
      <c r="CP67" s="8">
        <v>4.6399999999999997</v>
      </c>
      <c r="CQ67" s="8">
        <v>5</v>
      </c>
      <c r="CR67" s="1">
        <f>CP67/CQ67</f>
        <v>0.92799999999999994</v>
      </c>
      <c r="CS67" s="1">
        <v>4.1980000000000004</v>
      </c>
      <c r="CT67" s="8">
        <v>5</v>
      </c>
      <c r="CU67" s="1">
        <f>CS67/CT67</f>
        <v>0.83960000000000012</v>
      </c>
    </row>
    <row r="68" spans="1:99" x14ac:dyDescent="0.25">
      <c r="A68" s="1">
        <v>68</v>
      </c>
      <c r="B68" s="1">
        <v>66</v>
      </c>
      <c r="C68" s="2" t="s">
        <v>95</v>
      </c>
      <c r="D68" s="1" t="s">
        <v>280</v>
      </c>
      <c r="E68" s="1" t="s">
        <v>12</v>
      </c>
      <c r="F68" s="1" t="str">
        <f t="shared" si="32"/>
        <v>M</v>
      </c>
      <c r="G68" s="1" t="str">
        <f t="shared" si="33"/>
        <v>D</v>
      </c>
      <c r="H68" s="1">
        <v>1</v>
      </c>
      <c r="I68" s="1">
        <v>1</v>
      </c>
      <c r="J68" s="8" t="s">
        <v>276</v>
      </c>
      <c r="K68" s="8">
        <v>3</v>
      </c>
      <c r="L68" s="8">
        <v>2</v>
      </c>
      <c r="M68" s="8">
        <v>4.5999999999999996</v>
      </c>
      <c r="N68" s="8">
        <v>16.2</v>
      </c>
      <c r="O68" s="8"/>
      <c r="P68" s="1" t="s">
        <v>8</v>
      </c>
      <c r="Q68" s="3">
        <v>45665</v>
      </c>
      <c r="R68" s="3">
        <v>45666</v>
      </c>
      <c r="S68" s="3">
        <v>45656</v>
      </c>
      <c r="T68" s="3">
        <v>45657</v>
      </c>
      <c r="U68" s="1">
        <f t="shared" si="34"/>
        <v>9</v>
      </c>
      <c r="V68" s="1" t="s">
        <v>12</v>
      </c>
      <c r="W68" s="1" t="s">
        <v>12</v>
      </c>
      <c r="X68" s="1" t="s">
        <v>12</v>
      </c>
      <c r="Y68" s="1" t="s">
        <v>12</v>
      </c>
      <c r="AA68" s="3">
        <v>45668</v>
      </c>
      <c r="AC68" s="4" t="s">
        <v>86</v>
      </c>
      <c r="AE68" s="11">
        <f>AA68</f>
        <v>45668</v>
      </c>
      <c r="AF68" s="1">
        <f t="shared" si="35"/>
        <v>2</v>
      </c>
      <c r="AG68" s="1">
        <v>0</v>
      </c>
      <c r="AH68" s="5" t="s">
        <v>12</v>
      </c>
      <c r="AI68" s="1">
        <v>2</v>
      </c>
      <c r="AJ68" s="3">
        <v>45670</v>
      </c>
      <c r="AK68" s="5" t="s">
        <v>12</v>
      </c>
      <c r="AL68" s="5" t="s">
        <v>12</v>
      </c>
      <c r="AM68" s="1" t="s">
        <v>12</v>
      </c>
      <c r="AN68" s="3" t="s">
        <v>12</v>
      </c>
      <c r="AO68" s="1" t="s">
        <v>12</v>
      </c>
      <c r="AP68" s="5" t="s">
        <v>12</v>
      </c>
      <c r="AQ68" s="3" t="s">
        <v>12</v>
      </c>
      <c r="AR68" s="1" t="s">
        <v>12</v>
      </c>
      <c r="AS68" s="1">
        <v>20</v>
      </c>
      <c r="AT68" s="1" t="s">
        <v>12</v>
      </c>
      <c r="AU68" s="1" t="s">
        <v>12</v>
      </c>
      <c r="AV68" s="1">
        <v>20</v>
      </c>
      <c r="AW68" s="1" t="s">
        <v>12</v>
      </c>
      <c r="AX68" s="1" t="s">
        <v>12</v>
      </c>
      <c r="AY68" s="1" t="s">
        <v>12</v>
      </c>
      <c r="AZ68" s="1" t="s">
        <v>12</v>
      </c>
      <c r="BA68" s="1" t="s">
        <v>12</v>
      </c>
      <c r="BB68" s="1" t="s">
        <v>12</v>
      </c>
      <c r="BC68" s="1" t="s">
        <v>12</v>
      </c>
      <c r="BD68" s="1" t="s">
        <v>12</v>
      </c>
      <c r="BE68" s="1" t="s">
        <v>12</v>
      </c>
      <c r="BF68" s="1" t="s">
        <v>12</v>
      </c>
      <c r="BG68" s="1" t="s">
        <v>12</v>
      </c>
      <c r="BH68" s="1" t="s">
        <v>12</v>
      </c>
      <c r="BI68" s="1" t="s">
        <v>12</v>
      </c>
      <c r="BJ68" s="1" t="s">
        <v>12</v>
      </c>
      <c r="BK68" s="3" t="s">
        <v>12</v>
      </c>
      <c r="BL68" s="10" t="s">
        <v>12</v>
      </c>
      <c r="BM68" s="10" t="s">
        <v>12</v>
      </c>
      <c r="BN68" s="14" t="s">
        <v>12</v>
      </c>
      <c r="BO68" s="13" t="s">
        <v>12</v>
      </c>
      <c r="BP68" s="13" t="s">
        <v>12</v>
      </c>
      <c r="BQ68" s="13" t="s">
        <v>12</v>
      </c>
      <c r="BR68" s="13" t="s">
        <v>12</v>
      </c>
      <c r="BS68" s="13" t="s">
        <v>12</v>
      </c>
      <c r="BT68" s="13" t="s">
        <v>12</v>
      </c>
      <c r="BU68" s="13" t="s">
        <v>12</v>
      </c>
      <c r="BV68" s="13" t="s">
        <v>12</v>
      </c>
      <c r="BW68" s="13" t="s">
        <v>12</v>
      </c>
      <c r="BX68" s="13" t="s">
        <v>12</v>
      </c>
      <c r="BY68" s="13" t="s">
        <v>12</v>
      </c>
      <c r="BZ68" s="13" t="s">
        <v>12</v>
      </c>
      <c r="CA68" s="13" t="s">
        <v>12</v>
      </c>
      <c r="CB68" s="13" t="s">
        <v>12</v>
      </c>
      <c r="CC68" s="13" t="s">
        <v>12</v>
      </c>
      <c r="CD68" s="13"/>
      <c r="CE68" s="13" t="s">
        <v>12</v>
      </c>
      <c r="CF68" s="13" t="s">
        <v>12</v>
      </c>
      <c r="CG68" s="13" t="s">
        <v>12</v>
      </c>
      <c r="CH68" s="13" t="s">
        <v>12</v>
      </c>
      <c r="CI68" s="13" t="s">
        <v>12</v>
      </c>
      <c r="CJ68" s="13" t="s">
        <v>12</v>
      </c>
      <c r="CK68" s="13" t="s">
        <v>12</v>
      </c>
      <c r="CL68" s="13" t="s">
        <v>12</v>
      </c>
      <c r="CM68" s="13" t="s">
        <v>12</v>
      </c>
      <c r="CN68" s="13" t="s">
        <v>12</v>
      </c>
      <c r="CO68" s="13" t="s">
        <v>12</v>
      </c>
    </row>
    <row r="69" spans="1:99" x14ac:dyDescent="0.25">
      <c r="A69" s="1">
        <v>69</v>
      </c>
      <c r="B69" s="1">
        <v>67</v>
      </c>
      <c r="C69" s="2" t="s">
        <v>96</v>
      </c>
      <c r="D69" s="1" t="s">
        <v>280</v>
      </c>
      <c r="E69" s="1" t="s">
        <v>12</v>
      </c>
      <c r="F69" s="1" t="str">
        <f t="shared" si="32"/>
        <v>A</v>
      </c>
      <c r="G69" s="1" t="str">
        <f t="shared" si="33"/>
        <v>B</v>
      </c>
      <c r="H69" s="1">
        <v>1</v>
      </c>
      <c r="I69" s="1">
        <v>0</v>
      </c>
      <c r="J69" s="8" t="s">
        <v>278</v>
      </c>
      <c r="K69" s="8">
        <v>3</v>
      </c>
      <c r="L69" s="8">
        <v>2</v>
      </c>
      <c r="M69" s="8">
        <v>4.5999999999999996</v>
      </c>
      <c r="N69" s="8">
        <v>17.2</v>
      </c>
      <c r="O69" s="8"/>
      <c r="P69" s="1" t="s">
        <v>8</v>
      </c>
      <c r="Q69" s="3">
        <v>45665</v>
      </c>
      <c r="R69" s="3">
        <v>45666</v>
      </c>
      <c r="S69" s="3">
        <v>45656</v>
      </c>
      <c r="T69" s="3">
        <v>45657</v>
      </c>
      <c r="U69" s="1">
        <f t="shared" si="34"/>
        <v>9</v>
      </c>
      <c r="V69" s="1" t="s">
        <v>12</v>
      </c>
      <c r="W69" s="1" t="s">
        <v>12</v>
      </c>
      <c r="X69" s="1" t="s">
        <v>12</v>
      </c>
      <c r="Y69" s="1" t="s">
        <v>12</v>
      </c>
      <c r="AA69" s="3">
        <v>45676</v>
      </c>
      <c r="AC69" s="4" t="s">
        <v>86</v>
      </c>
      <c r="AE69" s="11">
        <f>AA69</f>
        <v>45676</v>
      </c>
      <c r="AF69" s="1">
        <f t="shared" si="35"/>
        <v>10</v>
      </c>
      <c r="AG69" s="1">
        <v>0</v>
      </c>
      <c r="AH69" s="5">
        <v>0.83299999999999996</v>
      </c>
      <c r="AI69" s="1">
        <v>2</v>
      </c>
      <c r="AJ69" s="3">
        <v>45670</v>
      </c>
      <c r="AK69" s="5" t="s">
        <v>12</v>
      </c>
      <c r="AL69" s="5" t="s">
        <v>12</v>
      </c>
      <c r="AM69" s="1" t="s">
        <v>12</v>
      </c>
      <c r="AN69" s="3" t="s">
        <v>12</v>
      </c>
      <c r="AO69" s="1" t="s">
        <v>12</v>
      </c>
      <c r="AP69" s="5" t="s">
        <v>12</v>
      </c>
      <c r="AQ69" s="3" t="s">
        <v>12</v>
      </c>
      <c r="AR69" s="1" t="s">
        <v>12</v>
      </c>
      <c r="AS69" s="1">
        <v>11</v>
      </c>
      <c r="AT69" s="1">
        <v>23</v>
      </c>
      <c r="AU69" s="1">
        <v>62</v>
      </c>
      <c r="AV69" s="1">
        <f t="shared" ref="AV69:AV102" si="36">AS69+AT69+AU69</f>
        <v>96</v>
      </c>
      <c r="AW69" s="1">
        <v>79</v>
      </c>
      <c r="AX69" s="1">
        <v>188</v>
      </c>
      <c r="AY69" s="1" t="s">
        <v>12</v>
      </c>
      <c r="AZ69" s="1">
        <f>AW69+AX69</f>
        <v>267</v>
      </c>
      <c r="BA69" s="1" t="s">
        <v>12</v>
      </c>
      <c r="BB69" s="1" t="s">
        <v>12</v>
      </c>
      <c r="BC69" s="1" t="s">
        <v>12</v>
      </c>
      <c r="BD69" s="1" t="s">
        <v>12</v>
      </c>
      <c r="BE69" s="1" t="s">
        <v>12</v>
      </c>
      <c r="BF69" s="1" t="s">
        <v>12</v>
      </c>
      <c r="BG69" s="1" t="s">
        <v>12</v>
      </c>
      <c r="BH69" s="1" t="s">
        <v>12</v>
      </c>
      <c r="BI69" s="1" t="s">
        <v>12</v>
      </c>
      <c r="BJ69" s="1" t="s">
        <v>12</v>
      </c>
      <c r="BK69" s="3" t="s">
        <v>12</v>
      </c>
      <c r="BL69" s="10" t="s">
        <v>12</v>
      </c>
      <c r="BM69" s="10" t="s">
        <v>12</v>
      </c>
      <c r="BN69" s="14" t="s">
        <v>12</v>
      </c>
      <c r="BO69" s="13" t="s">
        <v>12</v>
      </c>
      <c r="BP69" s="13" t="s">
        <v>12</v>
      </c>
      <c r="BQ69" s="13" t="s">
        <v>12</v>
      </c>
      <c r="BR69" s="13" t="s">
        <v>12</v>
      </c>
      <c r="BS69" s="13" t="s">
        <v>12</v>
      </c>
      <c r="BT69" s="13" t="s">
        <v>12</v>
      </c>
      <c r="BU69" s="13" t="s">
        <v>12</v>
      </c>
      <c r="BV69" s="13" t="s">
        <v>12</v>
      </c>
      <c r="BW69" s="13" t="s">
        <v>12</v>
      </c>
      <c r="BX69" s="13" t="s">
        <v>12</v>
      </c>
      <c r="BY69" s="13" t="s">
        <v>12</v>
      </c>
      <c r="BZ69" s="13" t="s">
        <v>12</v>
      </c>
      <c r="CA69" s="13" t="s">
        <v>12</v>
      </c>
      <c r="CB69" s="13" t="s">
        <v>12</v>
      </c>
      <c r="CC69" s="13" t="s">
        <v>12</v>
      </c>
      <c r="CD69" s="13"/>
      <c r="CE69" s="13" t="s">
        <v>12</v>
      </c>
      <c r="CF69" s="13" t="s">
        <v>12</v>
      </c>
      <c r="CG69" s="13" t="s">
        <v>12</v>
      </c>
      <c r="CH69" s="13" t="s">
        <v>12</v>
      </c>
      <c r="CI69" s="13" t="s">
        <v>12</v>
      </c>
      <c r="CJ69" s="13" t="s">
        <v>12</v>
      </c>
      <c r="CK69" s="13" t="s">
        <v>12</v>
      </c>
      <c r="CL69" s="13" t="s">
        <v>12</v>
      </c>
      <c r="CM69" s="13" t="s">
        <v>12</v>
      </c>
      <c r="CN69" s="13" t="s">
        <v>12</v>
      </c>
      <c r="CO69" s="13" t="s">
        <v>12</v>
      </c>
    </row>
    <row r="70" spans="1:99" x14ac:dyDescent="0.25">
      <c r="A70" s="1">
        <v>70</v>
      </c>
      <c r="B70" s="1">
        <v>68</v>
      </c>
      <c r="C70" s="2" t="s">
        <v>97</v>
      </c>
      <c r="D70" s="3" t="s">
        <v>10</v>
      </c>
      <c r="E70" s="1" t="str">
        <f>D70</f>
        <v>m</v>
      </c>
      <c r="F70" s="1" t="str">
        <f t="shared" si="32"/>
        <v>M</v>
      </c>
      <c r="G70" s="1" t="str">
        <f t="shared" si="33"/>
        <v>D</v>
      </c>
      <c r="H70" s="1">
        <v>1</v>
      </c>
      <c r="I70" s="1">
        <v>1</v>
      </c>
      <c r="J70" s="8" t="s">
        <v>276</v>
      </c>
      <c r="K70" s="8">
        <v>3</v>
      </c>
      <c r="L70" s="8">
        <v>2</v>
      </c>
      <c r="M70" s="8">
        <v>5.6</v>
      </c>
      <c r="N70" s="8">
        <v>17.2</v>
      </c>
      <c r="O70" s="8">
        <v>1</v>
      </c>
      <c r="P70" s="1" t="s">
        <v>8</v>
      </c>
      <c r="Q70" s="3">
        <v>45665</v>
      </c>
      <c r="R70" s="3">
        <v>45666</v>
      </c>
      <c r="S70" s="3">
        <v>45656</v>
      </c>
      <c r="T70" s="3">
        <v>45657</v>
      </c>
      <c r="U70" s="1">
        <f t="shared" si="34"/>
        <v>9</v>
      </c>
      <c r="V70" s="3">
        <v>45684</v>
      </c>
      <c r="W70" s="1">
        <f t="shared" ref="W70:W83" si="37">_xlfn.DAYS(V70,R70)</f>
        <v>18</v>
      </c>
      <c r="X70" s="3">
        <v>45689</v>
      </c>
      <c r="Y70" s="1">
        <f>_xlfn.DAYS(X70,R70)</f>
        <v>23</v>
      </c>
      <c r="Z70" s="1">
        <f>_xlfn.DAYS(BK70,X70)</f>
        <v>7</v>
      </c>
      <c r="AB70" s="3">
        <v>45698</v>
      </c>
      <c r="AD70" s="11" t="s">
        <v>86</v>
      </c>
      <c r="AE70" s="11">
        <v>45697</v>
      </c>
      <c r="AF70" s="1">
        <f t="shared" si="35"/>
        <v>31</v>
      </c>
      <c r="AG70" s="8">
        <v>0</v>
      </c>
      <c r="AH70" s="5">
        <v>0.90900000000000003</v>
      </c>
      <c r="AI70" s="1">
        <v>2</v>
      </c>
      <c r="AJ70" s="3">
        <v>45670</v>
      </c>
      <c r="AK70" s="5">
        <f t="shared" ref="AK70:AK78" si="38">AL70-AH70</f>
        <v>7.0989999999999993</v>
      </c>
      <c r="AL70" s="5">
        <v>8.0079999999999991</v>
      </c>
      <c r="AM70" s="8">
        <v>1</v>
      </c>
      <c r="AN70" s="3">
        <f t="shared" ref="AN70:AN83" si="39">V70+1</f>
        <v>45685</v>
      </c>
      <c r="AO70" s="1">
        <v>6.7450000000000001</v>
      </c>
      <c r="AP70" s="8">
        <v>2</v>
      </c>
      <c r="AQ70" s="3">
        <f>X70+1</f>
        <v>45690</v>
      </c>
      <c r="AR70" s="5">
        <f>AO70-AH70</f>
        <v>5.8360000000000003</v>
      </c>
      <c r="AS70" s="1">
        <v>11</v>
      </c>
      <c r="AT70" s="1">
        <v>18</v>
      </c>
      <c r="AU70" s="1">
        <v>96</v>
      </c>
      <c r="AV70" s="1">
        <f t="shared" si="36"/>
        <v>125</v>
      </c>
      <c r="AW70" s="1">
        <v>54</v>
      </c>
      <c r="AX70" s="1">
        <v>201</v>
      </c>
      <c r="AY70" s="1">
        <v>425</v>
      </c>
      <c r="AZ70" s="1">
        <f t="shared" ref="AZ70:AZ86" si="40">SUM(AW70+AX70+AY70)</f>
        <v>680</v>
      </c>
      <c r="BA70" s="1">
        <v>183</v>
      </c>
      <c r="BB70" s="1">
        <v>7</v>
      </c>
      <c r="BC70" s="1">
        <v>0</v>
      </c>
      <c r="BD70" s="8" t="s">
        <v>12</v>
      </c>
      <c r="BE70" s="8" t="s">
        <v>12</v>
      </c>
      <c r="BF70" s="1" t="s">
        <v>12</v>
      </c>
      <c r="BG70" s="1" t="s">
        <v>12</v>
      </c>
      <c r="BH70" s="1" t="s">
        <v>12</v>
      </c>
      <c r="BI70" s="1">
        <f>BA70+BB70+BC70</f>
        <v>190</v>
      </c>
      <c r="BJ70" s="1">
        <f t="shared" ref="BJ70:BJ86" si="41">AV70+AZ70+BI70</f>
        <v>995</v>
      </c>
      <c r="BK70" s="3">
        <v>45696</v>
      </c>
      <c r="BL70" s="6" t="s">
        <v>98</v>
      </c>
      <c r="BM70" s="6"/>
      <c r="BN70" s="6" t="s">
        <v>209</v>
      </c>
      <c r="BO70" s="13">
        <v>53.35</v>
      </c>
      <c r="BP70" s="13">
        <v>6.25</v>
      </c>
      <c r="BQ70" s="1">
        <v>6</v>
      </c>
      <c r="BR70" s="1">
        <v>0</v>
      </c>
      <c r="BS70" s="1">
        <f>BQ70+BR70</f>
        <v>6</v>
      </c>
      <c r="BT70" s="1">
        <v>11</v>
      </c>
      <c r="BU70" s="1">
        <v>0</v>
      </c>
      <c r="BV70" s="1">
        <f>BT70+BU70</f>
        <v>11</v>
      </c>
      <c r="BW70" s="1">
        <v>8</v>
      </c>
      <c r="BX70" s="1">
        <v>1</v>
      </c>
      <c r="BY70" s="1">
        <f>BW70+BX70</f>
        <v>9</v>
      </c>
      <c r="BZ70" s="1">
        <v>14</v>
      </c>
      <c r="CA70" s="1">
        <v>0</v>
      </c>
      <c r="CB70" s="1">
        <f>BZ70+CA70</f>
        <v>14</v>
      </c>
      <c r="CC70" s="1">
        <f>BS70+BV70+BY70+CB70</f>
        <v>40</v>
      </c>
      <c r="CE70" s="7">
        <f>CC70+CD70</f>
        <v>40</v>
      </c>
      <c r="CF70" s="8">
        <v>4</v>
      </c>
      <c r="CG70" s="8">
        <v>5</v>
      </c>
      <c r="CH70" s="8">
        <v>5</v>
      </c>
      <c r="CI70" s="8">
        <v>4</v>
      </c>
      <c r="CJ70" s="8">
        <v>7</v>
      </c>
      <c r="CK70" s="8">
        <v>1</v>
      </c>
      <c r="CL70" s="8">
        <v>0</v>
      </c>
      <c r="CM70" s="8">
        <v>0</v>
      </c>
      <c r="CN70" s="1">
        <f>CF70+CG70+CH70+CI70+CJ70+CK70+CL70+CM70</f>
        <v>26</v>
      </c>
      <c r="CO70" s="1">
        <f>CN70/CE70</f>
        <v>0.65</v>
      </c>
      <c r="CP70" s="8">
        <v>3.3639999999999999</v>
      </c>
      <c r="CQ70" s="8">
        <v>4</v>
      </c>
      <c r="CR70" s="1">
        <f>CP70/CQ70</f>
        <v>0.84099999999999997</v>
      </c>
      <c r="CS70" s="1">
        <v>2.5670000000000002</v>
      </c>
      <c r="CT70" s="8">
        <v>4</v>
      </c>
      <c r="CU70" s="1">
        <f>CS70/CT70</f>
        <v>0.64175000000000004</v>
      </c>
    </row>
    <row r="71" spans="1:99" x14ac:dyDescent="0.25">
      <c r="A71" s="1">
        <v>71</v>
      </c>
      <c r="B71" s="1">
        <v>69</v>
      </c>
      <c r="C71" s="2" t="s">
        <v>99</v>
      </c>
      <c r="D71" s="3" t="s">
        <v>10</v>
      </c>
      <c r="E71" s="1" t="str">
        <f>D71</f>
        <v>m</v>
      </c>
      <c r="F71" s="1" t="str">
        <f t="shared" si="32"/>
        <v>I</v>
      </c>
      <c r="G71" s="1" t="str">
        <f t="shared" si="33"/>
        <v>C</v>
      </c>
      <c r="H71" s="1">
        <v>0</v>
      </c>
      <c r="I71" s="1">
        <v>1</v>
      </c>
      <c r="J71" s="8" t="s">
        <v>278</v>
      </c>
      <c r="K71" s="8">
        <v>3</v>
      </c>
      <c r="L71" s="8">
        <v>2</v>
      </c>
      <c r="M71" s="8">
        <v>5.6</v>
      </c>
      <c r="N71" s="8">
        <v>16.2</v>
      </c>
      <c r="O71" s="8">
        <v>1</v>
      </c>
      <c r="P71" s="1" t="s">
        <v>8</v>
      </c>
      <c r="Q71" s="3">
        <v>45665</v>
      </c>
      <c r="R71" s="3">
        <v>45666</v>
      </c>
      <c r="S71" s="3">
        <v>45656</v>
      </c>
      <c r="T71" s="3">
        <v>45657</v>
      </c>
      <c r="U71" s="1">
        <f t="shared" si="34"/>
        <v>9</v>
      </c>
      <c r="V71" s="3">
        <v>45685</v>
      </c>
      <c r="W71" s="1">
        <f t="shared" si="37"/>
        <v>19</v>
      </c>
      <c r="X71" s="3">
        <v>45690</v>
      </c>
      <c r="Y71" s="1">
        <f>_xlfn.DAYS(X71,R71)</f>
        <v>24</v>
      </c>
      <c r="Z71" s="1">
        <f>_xlfn.DAYS(BK71,X71)</f>
        <v>7</v>
      </c>
      <c r="AB71" s="3">
        <v>45699</v>
      </c>
      <c r="AD71" s="11" t="s">
        <v>86</v>
      </c>
      <c r="AE71" s="11">
        <v>45697</v>
      </c>
      <c r="AF71" s="1">
        <f t="shared" si="35"/>
        <v>31</v>
      </c>
      <c r="AG71" s="8">
        <v>0</v>
      </c>
      <c r="AH71" s="5">
        <v>0.88600000000000001</v>
      </c>
      <c r="AI71" s="1">
        <v>2</v>
      </c>
      <c r="AJ71" s="3">
        <v>45670</v>
      </c>
      <c r="AK71" s="5">
        <f t="shared" si="38"/>
        <v>6.4859999999999998</v>
      </c>
      <c r="AL71" s="5">
        <v>7.3719999999999999</v>
      </c>
      <c r="AM71" s="8">
        <v>1</v>
      </c>
      <c r="AN71" s="3">
        <f t="shared" si="39"/>
        <v>45686</v>
      </c>
      <c r="AO71" s="8">
        <v>6.2359999999999998</v>
      </c>
      <c r="AP71" s="8">
        <v>2</v>
      </c>
      <c r="AQ71" s="3">
        <f>X71+1</f>
        <v>45691</v>
      </c>
      <c r="AR71" s="5">
        <f>AO71-AH71</f>
        <v>5.35</v>
      </c>
      <c r="AS71" s="1">
        <v>15</v>
      </c>
      <c r="AT71" s="1">
        <v>30</v>
      </c>
      <c r="AU71" s="1">
        <v>55</v>
      </c>
      <c r="AV71" s="1">
        <f t="shared" si="36"/>
        <v>100</v>
      </c>
      <c r="AW71" s="1">
        <v>60</v>
      </c>
      <c r="AX71" s="1">
        <v>154</v>
      </c>
      <c r="AY71" s="1">
        <v>298</v>
      </c>
      <c r="AZ71" s="1">
        <f t="shared" si="40"/>
        <v>512</v>
      </c>
      <c r="BA71" s="1">
        <v>164</v>
      </c>
      <c r="BB71" s="1">
        <v>0</v>
      </c>
      <c r="BC71" s="1">
        <v>0</v>
      </c>
      <c r="BD71" s="1">
        <v>0</v>
      </c>
      <c r="BE71" s="8" t="s">
        <v>12</v>
      </c>
      <c r="BF71" s="1" t="s">
        <v>12</v>
      </c>
      <c r="BG71" s="1" t="s">
        <v>12</v>
      </c>
      <c r="BH71" s="1" t="s">
        <v>12</v>
      </c>
      <c r="BI71" s="1">
        <f>BA71+BB71+BC71+BD71</f>
        <v>164</v>
      </c>
      <c r="BJ71" s="1">
        <f t="shared" si="41"/>
        <v>776</v>
      </c>
      <c r="BK71" s="3">
        <v>45697</v>
      </c>
      <c r="BL71" s="6" t="s">
        <v>100</v>
      </c>
      <c r="BM71" s="6"/>
      <c r="BN71" s="6" t="s">
        <v>214</v>
      </c>
      <c r="BO71" s="13">
        <v>54.32</v>
      </c>
      <c r="BP71" s="13">
        <v>5.28</v>
      </c>
      <c r="BQ71" s="1">
        <v>5</v>
      </c>
      <c r="BR71" s="1">
        <v>0</v>
      </c>
      <c r="BS71" s="1">
        <f>BQ71+BR71</f>
        <v>5</v>
      </c>
      <c r="BT71" s="1">
        <v>9</v>
      </c>
      <c r="BU71" s="1">
        <v>0</v>
      </c>
      <c r="BV71" s="1">
        <f>BT71+BU71</f>
        <v>9</v>
      </c>
      <c r="BW71" s="1">
        <v>8</v>
      </c>
      <c r="BX71" s="1">
        <v>0</v>
      </c>
      <c r="BY71" s="1">
        <f>BW71+BX71</f>
        <v>8</v>
      </c>
      <c r="BZ71" s="1">
        <v>10</v>
      </c>
      <c r="CA71" s="1">
        <v>0</v>
      </c>
      <c r="CB71" s="1">
        <f>BZ71+CA71</f>
        <v>10</v>
      </c>
      <c r="CC71" s="1">
        <f>BS71+BV71+BY71+CB71</f>
        <v>32</v>
      </c>
      <c r="CE71" s="7">
        <f>CC71+CD71</f>
        <v>32</v>
      </c>
      <c r="CF71" s="8">
        <v>0</v>
      </c>
      <c r="CG71" s="8">
        <v>5</v>
      </c>
      <c r="CH71" s="8">
        <v>9</v>
      </c>
      <c r="CI71" s="8">
        <v>11</v>
      </c>
      <c r="CJ71" s="8">
        <v>6</v>
      </c>
      <c r="CK71" s="8">
        <v>0</v>
      </c>
      <c r="CL71" s="8">
        <v>0</v>
      </c>
      <c r="CM71" s="8">
        <v>0</v>
      </c>
      <c r="CN71" s="1">
        <f>CF71+CG71+CH71+CI71+CJ71+CK71+CL71+CM71</f>
        <v>31</v>
      </c>
      <c r="CO71" s="1">
        <f>CN71/CE71</f>
        <v>0.96875</v>
      </c>
      <c r="CP71" s="8">
        <v>2.5099999999999998</v>
      </c>
      <c r="CQ71" s="8">
        <v>5</v>
      </c>
      <c r="CR71" s="1">
        <f>CP71/CQ71</f>
        <v>0.502</v>
      </c>
      <c r="CS71" s="1">
        <v>2.2549999999999999</v>
      </c>
      <c r="CT71" s="8">
        <v>4</v>
      </c>
      <c r="CU71" s="1">
        <f>CS71/CT71</f>
        <v>0.56374999999999997</v>
      </c>
    </row>
    <row r="72" spans="1:99" x14ac:dyDescent="0.25">
      <c r="A72" s="1">
        <v>72</v>
      </c>
      <c r="B72" s="1">
        <v>70</v>
      </c>
      <c r="C72" s="2" t="s">
        <v>101</v>
      </c>
      <c r="D72" s="1" t="s">
        <v>280</v>
      </c>
      <c r="E72" s="1" t="s">
        <v>12</v>
      </c>
      <c r="F72" s="1" t="str">
        <f t="shared" si="32"/>
        <v>C</v>
      </c>
      <c r="G72" s="1" t="str">
        <f t="shared" si="33"/>
        <v>A</v>
      </c>
      <c r="H72" s="1">
        <v>0</v>
      </c>
      <c r="I72" s="1">
        <v>0</v>
      </c>
      <c r="J72" s="8" t="s">
        <v>278</v>
      </c>
      <c r="K72" s="8">
        <v>3</v>
      </c>
      <c r="L72" s="8">
        <v>2</v>
      </c>
      <c r="M72" s="8">
        <v>5.6</v>
      </c>
      <c r="N72" s="8">
        <v>15.2</v>
      </c>
      <c r="O72" s="8"/>
      <c r="P72" s="1" t="s">
        <v>8</v>
      </c>
      <c r="Q72" s="3">
        <v>45665</v>
      </c>
      <c r="R72" s="3">
        <v>45666</v>
      </c>
      <c r="S72" s="3">
        <v>45656</v>
      </c>
      <c r="T72" s="3">
        <v>45657</v>
      </c>
      <c r="U72" s="1">
        <f t="shared" si="34"/>
        <v>9</v>
      </c>
      <c r="V72" s="3">
        <v>45685</v>
      </c>
      <c r="W72" s="1">
        <f t="shared" si="37"/>
        <v>19</v>
      </c>
      <c r="X72" s="1" t="s">
        <v>12</v>
      </c>
      <c r="Y72" s="1" t="s">
        <v>12</v>
      </c>
      <c r="AA72" s="3">
        <v>45691</v>
      </c>
      <c r="AD72" s="11"/>
      <c r="AE72" s="11">
        <f>AA72</f>
        <v>45691</v>
      </c>
      <c r="AF72" s="1">
        <f t="shared" si="35"/>
        <v>25</v>
      </c>
      <c r="AG72" s="1">
        <v>1</v>
      </c>
      <c r="AH72" s="5">
        <v>0.52600000000000002</v>
      </c>
      <c r="AI72" s="1">
        <v>2</v>
      </c>
      <c r="AJ72" s="3">
        <v>45670</v>
      </c>
      <c r="AK72" s="5">
        <f t="shared" si="38"/>
        <v>7.3559999999999999</v>
      </c>
      <c r="AL72" s="5">
        <v>7.8819999999999997</v>
      </c>
      <c r="AM72" s="8">
        <v>1</v>
      </c>
      <c r="AN72" s="3">
        <f t="shared" si="39"/>
        <v>45686</v>
      </c>
      <c r="AO72" s="1" t="s">
        <v>12</v>
      </c>
      <c r="AP72" s="5" t="s">
        <v>12</v>
      </c>
      <c r="AQ72" s="3" t="s">
        <v>12</v>
      </c>
      <c r="AR72" s="1" t="s">
        <v>12</v>
      </c>
      <c r="AS72" s="1">
        <v>7</v>
      </c>
      <c r="AT72" s="1">
        <v>18</v>
      </c>
      <c r="AU72" s="1">
        <v>36</v>
      </c>
      <c r="AV72" s="1">
        <f t="shared" si="36"/>
        <v>61</v>
      </c>
      <c r="AW72" s="1">
        <v>46</v>
      </c>
      <c r="AX72" s="1">
        <v>131</v>
      </c>
      <c r="AY72" s="1">
        <v>252</v>
      </c>
      <c r="AZ72" s="1">
        <f t="shared" si="40"/>
        <v>429</v>
      </c>
      <c r="BA72" s="1">
        <v>191</v>
      </c>
      <c r="BB72" s="1">
        <v>10</v>
      </c>
      <c r="BC72" s="1">
        <v>0</v>
      </c>
      <c r="BD72" s="1">
        <v>0</v>
      </c>
      <c r="BE72" s="8" t="s">
        <v>12</v>
      </c>
      <c r="BF72" s="1" t="s">
        <v>12</v>
      </c>
      <c r="BG72" s="1" t="s">
        <v>12</v>
      </c>
      <c r="BH72" s="1" t="s">
        <v>12</v>
      </c>
      <c r="BI72" s="1">
        <f>BA72+BB72+BC72+BD72</f>
        <v>201</v>
      </c>
      <c r="BJ72" s="1">
        <f t="shared" si="41"/>
        <v>691</v>
      </c>
      <c r="BK72" s="3" t="s">
        <v>12</v>
      </c>
      <c r="BL72" s="10" t="s">
        <v>12</v>
      </c>
      <c r="BM72" s="10" t="s">
        <v>12</v>
      </c>
      <c r="BN72" s="14" t="s">
        <v>12</v>
      </c>
      <c r="BO72" s="13" t="s">
        <v>12</v>
      </c>
      <c r="BP72" s="13" t="s">
        <v>12</v>
      </c>
      <c r="BQ72" s="13" t="s">
        <v>12</v>
      </c>
      <c r="BR72" s="13" t="s">
        <v>12</v>
      </c>
      <c r="BS72" s="13" t="s">
        <v>12</v>
      </c>
      <c r="BT72" s="13" t="s">
        <v>12</v>
      </c>
      <c r="BU72" s="13" t="s">
        <v>12</v>
      </c>
      <c r="BV72" s="13" t="s">
        <v>12</v>
      </c>
      <c r="BW72" s="13" t="s">
        <v>12</v>
      </c>
      <c r="BX72" s="13" t="s">
        <v>12</v>
      </c>
      <c r="BY72" s="13" t="s">
        <v>12</v>
      </c>
      <c r="BZ72" s="13" t="s">
        <v>12</v>
      </c>
      <c r="CA72" s="13" t="s">
        <v>12</v>
      </c>
      <c r="CB72" s="13" t="s">
        <v>12</v>
      </c>
      <c r="CC72" s="13" t="s">
        <v>12</v>
      </c>
      <c r="CD72" s="13"/>
      <c r="CE72" s="13" t="s">
        <v>12</v>
      </c>
      <c r="CF72" s="13" t="s">
        <v>12</v>
      </c>
      <c r="CG72" s="13" t="s">
        <v>12</v>
      </c>
      <c r="CH72" s="13" t="s">
        <v>12</v>
      </c>
      <c r="CI72" s="13" t="s">
        <v>12</v>
      </c>
      <c r="CJ72" s="13" t="s">
        <v>12</v>
      </c>
      <c r="CK72" s="13" t="s">
        <v>12</v>
      </c>
      <c r="CL72" s="13" t="s">
        <v>12</v>
      </c>
      <c r="CM72" s="13" t="s">
        <v>12</v>
      </c>
      <c r="CN72" s="13" t="s">
        <v>12</v>
      </c>
      <c r="CO72" s="13" t="s">
        <v>12</v>
      </c>
    </row>
    <row r="73" spans="1:99" x14ac:dyDescent="0.25">
      <c r="A73" s="1">
        <v>73</v>
      </c>
      <c r="B73" s="1">
        <v>71</v>
      </c>
      <c r="C73" s="2" t="s">
        <v>102</v>
      </c>
      <c r="D73" s="3" t="s">
        <v>27</v>
      </c>
      <c r="E73" s="1" t="str">
        <f t="shared" ref="E73:E79" si="42">D73</f>
        <v>f</v>
      </c>
      <c r="F73" s="1" t="str">
        <f t="shared" si="32"/>
        <v>A</v>
      </c>
      <c r="G73" s="1" t="str">
        <f t="shared" si="33"/>
        <v>B</v>
      </c>
      <c r="H73" s="1">
        <v>1</v>
      </c>
      <c r="I73" s="1">
        <v>0</v>
      </c>
      <c r="J73" s="8" t="s">
        <v>278</v>
      </c>
      <c r="K73" s="1">
        <v>3</v>
      </c>
      <c r="L73" s="1">
        <v>2</v>
      </c>
      <c r="M73" s="8">
        <v>5.6</v>
      </c>
      <c r="N73" s="8">
        <v>14.2</v>
      </c>
      <c r="O73" s="8">
        <v>1</v>
      </c>
      <c r="P73" s="1" t="s">
        <v>8</v>
      </c>
      <c r="Q73" s="3">
        <v>45665</v>
      </c>
      <c r="R73" s="3">
        <v>45666</v>
      </c>
      <c r="S73" s="3">
        <v>45656</v>
      </c>
      <c r="T73" s="3">
        <v>45657</v>
      </c>
      <c r="U73" s="1">
        <f t="shared" si="34"/>
        <v>9</v>
      </c>
      <c r="V73" s="3">
        <v>45685</v>
      </c>
      <c r="W73" s="1">
        <f t="shared" si="37"/>
        <v>19</v>
      </c>
      <c r="X73" s="3">
        <v>45690</v>
      </c>
      <c r="Y73" s="1">
        <f t="shared" ref="Y73:Y79" si="43">_xlfn.DAYS(X73,R73)</f>
        <v>24</v>
      </c>
      <c r="Z73" s="1">
        <f t="shared" ref="Z73:Z78" si="44">_xlfn.DAYS(BK73,X73)</f>
        <v>7</v>
      </c>
      <c r="AB73" s="3">
        <v>45703</v>
      </c>
      <c r="AD73" s="11" t="s">
        <v>86</v>
      </c>
      <c r="AE73" s="11">
        <v>45697</v>
      </c>
      <c r="AF73" s="1">
        <f t="shared" si="35"/>
        <v>31</v>
      </c>
      <c r="AG73" s="8">
        <v>0</v>
      </c>
      <c r="AH73" s="5">
        <v>0.54300000000000004</v>
      </c>
      <c r="AI73" s="1">
        <v>2</v>
      </c>
      <c r="AJ73" s="3">
        <v>45670</v>
      </c>
      <c r="AK73" s="5">
        <f t="shared" si="38"/>
        <v>7.444</v>
      </c>
      <c r="AL73" s="5">
        <v>7.9870000000000001</v>
      </c>
      <c r="AM73" s="1">
        <v>1</v>
      </c>
      <c r="AN73" s="3">
        <f t="shared" si="39"/>
        <v>45686</v>
      </c>
      <c r="AO73" s="1">
        <v>7.4390000000000001</v>
      </c>
      <c r="AP73" s="8">
        <v>2</v>
      </c>
      <c r="AQ73" s="3">
        <f t="shared" ref="AQ73:AQ79" si="45">X73+1</f>
        <v>45691</v>
      </c>
      <c r="AR73" s="5">
        <f t="shared" ref="AR73:AR79" si="46">AO73-AH73</f>
        <v>6.8959999999999999</v>
      </c>
      <c r="AS73" s="1">
        <v>8</v>
      </c>
      <c r="AT73" s="1">
        <v>15</v>
      </c>
      <c r="AU73" s="1">
        <v>54</v>
      </c>
      <c r="AV73" s="1">
        <f t="shared" si="36"/>
        <v>77</v>
      </c>
      <c r="AW73" s="1">
        <v>36</v>
      </c>
      <c r="AX73" s="1">
        <v>63</v>
      </c>
      <c r="AY73" s="1">
        <v>287</v>
      </c>
      <c r="AZ73" s="1">
        <f t="shared" si="40"/>
        <v>386</v>
      </c>
      <c r="BA73" s="1">
        <v>109</v>
      </c>
      <c r="BB73" s="1">
        <v>2</v>
      </c>
      <c r="BC73" s="1">
        <v>2</v>
      </c>
      <c r="BD73" s="1">
        <v>0</v>
      </c>
      <c r="BE73" s="8" t="s">
        <v>12</v>
      </c>
      <c r="BF73" s="1" t="s">
        <v>12</v>
      </c>
      <c r="BG73" s="1" t="s">
        <v>12</v>
      </c>
      <c r="BH73" s="1" t="s">
        <v>12</v>
      </c>
      <c r="BI73" s="1">
        <f>BA73+BB73+BC73+BD73</f>
        <v>113</v>
      </c>
      <c r="BJ73" s="1">
        <f t="shared" si="41"/>
        <v>576</v>
      </c>
      <c r="BK73" s="3">
        <v>45697</v>
      </c>
      <c r="BL73" s="6"/>
      <c r="BM73" s="6" t="s">
        <v>103</v>
      </c>
      <c r="BN73" s="6" t="s">
        <v>215</v>
      </c>
      <c r="BO73" s="13">
        <v>54.06</v>
      </c>
      <c r="BP73" s="13">
        <v>5.54</v>
      </c>
      <c r="BQ73" s="1">
        <v>2</v>
      </c>
      <c r="BR73" s="1">
        <v>1</v>
      </c>
      <c r="BS73" s="1">
        <f t="shared" ref="BS73:BS78" si="47">BQ73+BR73</f>
        <v>3</v>
      </c>
      <c r="BT73" s="1">
        <v>3</v>
      </c>
      <c r="BU73" s="1">
        <v>0</v>
      </c>
      <c r="BV73" s="1">
        <f t="shared" ref="BV73:BV78" si="48">BT73+BU73</f>
        <v>3</v>
      </c>
      <c r="BW73" s="1">
        <v>3</v>
      </c>
      <c r="BX73" s="1">
        <v>0</v>
      </c>
      <c r="BY73" s="1">
        <f t="shared" ref="BY73:BY78" si="49">BW73+BX73</f>
        <v>3</v>
      </c>
      <c r="BZ73" s="1">
        <v>11</v>
      </c>
      <c r="CA73" s="1">
        <v>0</v>
      </c>
      <c r="CB73" s="1">
        <f t="shared" ref="CB73:CB78" si="50">BZ73+CA73</f>
        <v>11</v>
      </c>
      <c r="CC73" s="1">
        <f t="shared" ref="CC73:CC78" si="51">BS73+BV73+BY73+CB73</f>
        <v>20</v>
      </c>
      <c r="CE73" s="7">
        <f t="shared" ref="CE73:CE78" si="52">CC73+CD73</f>
        <v>20</v>
      </c>
      <c r="CF73" s="1">
        <v>0</v>
      </c>
      <c r="CG73" s="8">
        <v>0</v>
      </c>
      <c r="CH73" s="8">
        <v>0</v>
      </c>
      <c r="CI73" s="8">
        <v>0</v>
      </c>
      <c r="CJ73" s="8">
        <v>3</v>
      </c>
      <c r="CK73" s="8">
        <v>1</v>
      </c>
      <c r="CL73" s="8">
        <v>0</v>
      </c>
      <c r="CM73" s="8">
        <v>0</v>
      </c>
      <c r="CN73" s="1">
        <f t="shared" ref="CN73:CN78" si="53">CF73+CG73+CH73+CI73+CJ73+CK73+CL73+CM73</f>
        <v>4</v>
      </c>
      <c r="CO73" s="1">
        <f t="shared" ref="CO73:CO78" si="54">CN73/CE73</f>
        <v>0.2</v>
      </c>
      <c r="CP73" s="1" t="s">
        <v>12</v>
      </c>
      <c r="CQ73" s="1" t="s">
        <v>12</v>
      </c>
      <c r="CR73" s="1" t="s">
        <v>12</v>
      </c>
      <c r="CS73" s="1" t="s">
        <v>12</v>
      </c>
      <c r="CT73" s="1" t="s">
        <v>12</v>
      </c>
      <c r="CU73" s="1" t="s">
        <v>12</v>
      </c>
    </row>
    <row r="74" spans="1:99" x14ac:dyDescent="0.25">
      <c r="A74" s="1">
        <v>74</v>
      </c>
      <c r="B74" s="1">
        <v>72</v>
      </c>
      <c r="C74" s="2" t="s">
        <v>64</v>
      </c>
      <c r="D74" s="3" t="s">
        <v>10</v>
      </c>
      <c r="E74" s="1" t="str">
        <f t="shared" si="42"/>
        <v>m</v>
      </c>
      <c r="F74" s="1" t="str">
        <f t="shared" si="32"/>
        <v>I</v>
      </c>
      <c r="G74" s="1" t="str">
        <f t="shared" si="33"/>
        <v>C</v>
      </c>
      <c r="H74" s="1">
        <v>0</v>
      </c>
      <c r="I74" s="1">
        <v>1</v>
      </c>
      <c r="J74" s="8" t="s">
        <v>278</v>
      </c>
      <c r="K74" s="8">
        <v>4</v>
      </c>
      <c r="L74" s="8">
        <v>2</v>
      </c>
      <c r="M74" s="8">
        <v>7</v>
      </c>
      <c r="N74" s="1">
        <v>14.2</v>
      </c>
      <c r="O74" s="8">
        <v>1</v>
      </c>
      <c r="P74" s="1" t="s">
        <v>8</v>
      </c>
      <c r="Q74" s="3">
        <v>45665</v>
      </c>
      <c r="R74" s="3">
        <v>45666</v>
      </c>
      <c r="S74" s="3">
        <v>45656</v>
      </c>
      <c r="T74" s="3">
        <v>45657</v>
      </c>
      <c r="U74" s="1">
        <f t="shared" si="34"/>
        <v>9</v>
      </c>
      <c r="V74" s="3">
        <v>45683</v>
      </c>
      <c r="W74" s="1">
        <f t="shared" si="37"/>
        <v>17</v>
      </c>
      <c r="X74" s="3">
        <v>45689</v>
      </c>
      <c r="Y74" s="1">
        <f t="shared" si="43"/>
        <v>23</v>
      </c>
      <c r="Z74" s="1">
        <f t="shared" si="44"/>
        <v>7</v>
      </c>
      <c r="AB74" s="3">
        <v>45698</v>
      </c>
      <c r="AD74" s="11" t="s">
        <v>86</v>
      </c>
      <c r="AE74" s="11">
        <v>45697</v>
      </c>
      <c r="AF74" s="1">
        <f t="shared" si="35"/>
        <v>31</v>
      </c>
      <c r="AG74" s="8">
        <v>0</v>
      </c>
      <c r="AH74" s="5">
        <v>0.95599999999999996</v>
      </c>
      <c r="AI74" s="1">
        <v>2</v>
      </c>
      <c r="AJ74" s="3">
        <v>45670</v>
      </c>
      <c r="AK74" s="5">
        <f t="shared" si="38"/>
        <v>6.7780000000000005</v>
      </c>
      <c r="AL74" s="5">
        <v>7.734</v>
      </c>
      <c r="AM74" s="1">
        <v>2</v>
      </c>
      <c r="AN74" s="3">
        <f t="shared" si="39"/>
        <v>45684</v>
      </c>
      <c r="AO74" s="8">
        <v>6.899</v>
      </c>
      <c r="AP74" s="8">
        <v>2</v>
      </c>
      <c r="AQ74" s="3">
        <f t="shared" si="45"/>
        <v>45690</v>
      </c>
      <c r="AR74" s="5">
        <f t="shared" si="46"/>
        <v>5.9429999999999996</v>
      </c>
      <c r="AS74" s="1">
        <v>15</v>
      </c>
      <c r="AT74" s="1">
        <v>28</v>
      </c>
      <c r="AU74" s="1">
        <v>117</v>
      </c>
      <c r="AV74" s="1">
        <f t="shared" si="36"/>
        <v>160</v>
      </c>
      <c r="AW74" s="1">
        <v>113</v>
      </c>
      <c r="AX74" s="1">
        <v>242</v>
      </c>
      <c r="AY74" s="1">
        <v>290</v>
      </c>
      <c r="AZ74" s="1">
        <f t="shared" si="40"/>
        <v>645</v>
      </c>
      <c r="BA74" s="1">
        <v>32</v>
      </c>
      <c r="BB74" s="1">
        <v>0</v>
      </c>
      <c r="BC74" s="1">
        <v>0</v>
      </c>
      <c r="BD74" s="1" t="s">
        <v>12</v>
      </c>
      <c r="BE74" s="1" t="s">
        <v>12</v>
      </c>
      <c r="BF74" s="1" t="s">
        <v>12</v>
      </c>
      <c r="BG74" s="1" t="s">
        <v>12</v>
      </c>
      <c r="BH74" s="1" t="s">
        <v>12</v>
      </c>
      <c r="BI74" s="1">
        <f>BA74+BB74+BC74</f>
        <v>32</v>
      </c>
      <c r="BJ74" s="1">
        <f t="shared" si="41"/>
        <v>837</v>
      </c>
      <c r="BK74" s="3">
        <v>45696</v>
      </c>
      <c r="BL74" s="6" t="s">
        <v>63</v>
      </c>
      <c r="BM74" s="6"/>
      <c r="BN74" s="6" t="s">
        <v>202</v>
      </c>
      <c r="BO74" s="13">
        <v>54.11</v>
      </c>
      <c r="BP74" s="13">
        <v>5.49</v>
      </c>
      <c r="BQ74" s="1">
        <v>7</v>
      </c>
      <c r="BR74" s="1">
        <v>2</v>
      </c>
      <c r="BS74" s="1">
        <f t="shared" si="47"/>
        <v>9</v>
      </c>
      <c r="BT74" s="1">
        <v>14</v>
      </c>
      <c r="BU74" s="1">
        <v>0</v>
      </c>
      <c r="BV74" s="1">
        <f t="shared" si="48"/>
        <v>14</v>
      </c>
      <c r="BW74" s="1">
        <v>10</v>
      </c>
      <c r="BX74" s="1">
        <v>0</v>
      </c>
      <c r="BY74" s="1">
        <f t="shared" si="49"/>
        <v>10</v>
      </c>
      <c r="BZ74" s="1">
        <v>9</v>
      </c>
      <c r="CA74" s="1">
        <v>0</v>
      </c>
      <c r="CB74" s="1">
        <f t="shared" si="50"/>
        <v>9</v>
      </c>
      <c r="CC74" s="1">
        <f t="shared" si="51"/>
        <v>42</v>
      </c>
      <c r="CE74" s="7">
        <f t="shared" si="52"/>
        <v>42</v>
      </c>
      <c r="CF74" s="8">
        <v>8</v>
      </c>
      <c r="CG74" s="8">
        <v>11</v>
      </c>
      <c r="CH74" s="8">
        <v>6</v>
      </c>
      <c r="CI74" s="8">
        <v>8</v>
      </c>
      <c r="CJ74" s="8">
        <v>4</v>
      </c>
      <c r="CK74" s="8">
        <v>0</v>
      </c>
      <c r="CL74" s="8">
        <v>0</v>
      </c>
      <c r="CM74" s="8">
        <v>0</v>
      </c>
      <c r="CN74" s="1">
        <f t="shared" si="53"/>
        <v>37</v>
      </c>
      <c r="CO74" s="1">
        <f t="shared" si="54"/>
        <v>0.88095238095238093</v>
      </c>
      <c r="CP74" s="8">
        <v>5.2329999999999997</v>
      </c>
      <c r="CQ74" s="8">
        <v>5</v>
      </c>
      <c r="CR74" s="1">
        <f>CP74/CQ74</f>
        <v>1.0466</v>
      </c>
      <c r="CS74" s="1">
        <v>4.6849999999999996</v>
      </c>
      <c r="CT74" s="8">
        <v>5</v>
      </c>
      <c r="CU74" s="1">
        <f>CS74/CT74</f>
        <v>0.93699999999999994</v>
      </c>
    </row>
    <row r="75" spans="1:99" x14ac:dyDescent="0.25">
      <c r="A75" s="1">
        <v>75</v>
      </c>
      <c r="B75" s="1">
        <v>73</v>
      </c>
      <c r="C75" s="2" t="s">
        <v>62</v>
      </c>
      <c r="D75" s="3" t="s">
        <v>27</v>
      </c>
      <c r="E75" s="1" t="str">
        <f t="shared" si="42"/>
        <v>f</v>
      </c>
      <c r="F75" s="1" t="str">
        <f t="shared" si="32"/>
        <v>A</v>
      </c>
      <c r="G75" s="1" t="str">
        <f t="shared" si="33"/>
        <v>B</v>
      </c>
      <c r="H75" s="1">
        <v>1</v>
      </c>
      <c r="I75" s="1">
        <v>0</v>
      </c>
      <c r="J75" s="8" t="s">
        <v>278</v>
      </c>
      <c r="K75" s="8">
        <v>4</v>
      </c>
      <c r="L75" s="8">
        <v>2</v>
      </c>
      <c r="M75" s="8">
        <v>7</v>
      </c>
      <c r="N75" s="8">
        <v>15.2</v>
      </c>
      <c r="O75" s="8">
        <v>1</v>
      </c>
      <c r="P75" s="1" t="s">
        <v>8</v>
      </c>
      <c r="Q75" s="3">
        <v>45665</v>
      </c>
      <c r="R75" s="3">
        <v>45666</v>
      </c>
      <c r="S75" s="3">
        <v>45656</v>
      </c>
      <c r="T75" s="3">
        <v>45657</v>
      </c>
      <c r="U75" s="1">
        <f t="shared" si="34"/>
        <v>9</v>
      </c>
      <c r="V75" s="3">
        <v>45683</v>
      </c>
      <c r="W75" s="1">
        <f t="shared" si="37"/>
        <v>17</v>
      </c>
      <c r="X75" s="3">
        <v>45688</v>
      </c>
      <c r="Y75" s="1">
        <f t="shared" si="43"/>
        <v>22</v>
      </c>
      <c r="Z75" s="1">
        <f t="shared" si="44"/>
        <v>7</v>
      </c>
      <c r="AB75" s="3">
        <v>45701</v>
      </c>
      <c r="AD75" s="11" t="s">
        <v>86</v>
      </c>
      <c r="AE75" s="11">
        <v>45697</v>
      </c>
      <c r="AF75" s="1">
        <f t="shared" si="35"/>
        <v>31</v>
      </c>
      <c r="AG75" s="8">
        <v>0</v>
      </c>
      <c r="AH75" s="5">
        <v>1.1559999999999999</v>
      </c>
      <c r="AI75" s="1">
        <v>2</v>
      </c>
      <c r="AJ75" s="3">
        <v>45670</v>
      </c>
      <c r="AK75" s="5">
        <f t="shared" si="38"/>
        <v>7.644000000000001</v>
      </c>
      <c r="AL75" s="5">
        <v>8.8000000000000007</v>
      </c>
      <c r="AM75" s="1">
        <v>2</v>
      </c>
      <c r="AN75" s="3">
        <f t="shared" si="39"/>
        <v>45684</v>
      </c>
      <c r="AO75" s="8">
        <v>8.6460000000000008</v>
      </c>
      <c r="AP75" s="8">
        <v>2</v>
      </c>
      <c r="AQ75" s="3">
        <f t="shared" si="45"/>
        <v>45689</v>
      </c>
      <c r="AR75" s="5">
        <f t="shared" si="46"/>
        <v>7.4900000000000011</v>
      </c>
      <c r="AS75" s="1">
        <v>18</v>
      </c>
      <c r="AT75" s="1">
        <v>22</v>
      </c>
      <c r="AU75" s="1">
        <v>139</v>
      </c>
      <c r="AV75" s="1">
        <f t="shared" si="36"/>
        <v>179</v>
      </c>
      <c r="AW75" s="1">
        <v>80</v>
      </c>
      <c r="AX75" s="1">
        <v>268</v>
      </c>
      <c r="AY75" s="1">
        <v>195</v>
      </c>
      <c r="AZ75" s="1">
        <f t="shared" si="40"/>
        <v>543</v>
      </c>
      <c r="BA75" s="1">
        <v>10</v>
      </c>
      <c r="BB75" s="1">
        <v>0</v>
      </c>
      <c r="BC75" s="1">
        <v>0</v>
      </c>
      <c r="BD75" s="1" t="s">
        <v>12</v>
      </c>
      <c r="BE75" s="1" t="s">
        <v>12</v>
      </c>
      <c r="BF75" s="1" t="s">
        <v>12</v>
      </c>
      <c r="BG75" s="1" t="s">
        <v>12</v>
      </c>
      <c r="BH75" s="1" t="s">
        <v>12</v>
      </c>
      <c r="BI75" s="1">
        <f>BA75+BB75+BC75</f>
        <v>10</v>
      </c>
      <c r="BJ75" s="1">
        <f t="shared" si="41"/>
        <v>732</v>
      </c>
      <c r="BK75" s="3">
        <v>45695</v>
      </c>
      <c r="BL75" s="6"/>
      <c r="BM75" s="6" t="s">
        <v>61</v>
      </c>
      <c r="BN75" s="6" t="s">
        <v>194</v>
      </c>
      <c r="BO75" s="13">
        <v>0</v>
      </c>
      <c r="BP75" s="13">
        <v>60</v>
      </c>
      <c r="BQ75" s="1">
        <v>7</v>
      </c>
      <c r="BR75" s="1">
        <v>1</v>
      </c>
      <c r="BS75" s="1">
        <f t="shared" si="47"/>
        <v>8</v>
      </c>
      <c r="BT75" s="1">
        <v>12</v>
      </c>
      <c r="BU75" s="1">
        <v>0</v>
      </c>
      <c r="BV75" s="1">
        <f t="shared" si="48"/>
        <v>12</v>
      </c>
      <c r="BW75" s="1">
        <v>11</v>
      </c>
      <c r="BX75" s="1">
        <v>0</v>
      </c>
      <c r="BY75" s="1">
        <f t="shared" si="49"/>
        <v>11</v>
      </c>
      <c r="BZ75" s="1">
        <v>11</v>
      </c>
      <c r="CA75" s="1">
        <v>0</v>
      </c>
      <c r="CB75" s="1">
        <f t="shared" si="50"/>
        <v>11</v>
      </c>
      <c r="CC75" s="1">
        <f t="shared" si="51"/>
        <v>42</v>
      </c>
      <c r="CE75" s="7">
        <f t="shared" si="52"/>
        <v>42</v>
      </c>
      <c r="CF75" s="1">
        <v>4</v>
      </c>
      <c r="CG75" s="1">
        <v>6</v>
      </c>
      <c r="CH75" s="1">
        <v>9</v>
      </c>
      <c r="CI75" s="1">
        <v>9</v>
      </c>
      <c r="CJ75" s="1">
        <v>0</v>
      </c>
      <c r="CK75" s="1">
        <v>1</v>
      </c>
      <c r="CL75" s="1">
        <v>0</v>
      </c>
      <c r="CM75" s="1">
        <v>0</v>
      </c>
      <c r="CN75" s="1">
        <f t="shared" si="53"/>
        <v>29</v>
      </c>
      <c r="CO75" s="1">
        <f t="shared" si="54"/>
        <v>0.69047619047619047</v>
      </c>
      <c r="CP75" s="8">
        <v>4.5599999999999996</v>
      </c>
      <c r="CQ75" s="8">
        <v>5</v>
      </c>
      <c r="CR75" s="1">
        <f>CP75/CQ75</f>
        <v>0.91199999999999992</v>
      </c>
      <c r="CS75" s="1">
        <v>2.8580000000000001</v>
      </c>
      <c r="CT75" s="8">
        <v>4</v>
      </c>
      <c r="CU75" s="1">
        <f>CS75/CT75</f>
        <v>0.71450000000000002</v>
      </c>
    </row>
    <row r="76" spans="1:99" x14ac:dyDescent="0.25">
      <c r="A76" s="1">
        <v>76</v>
      </c>
      <c r="B76" s="1">
        <v>74</v>
      </c>
      <c r="C76" s="2" t="s">
        <v>98</v>
      </c>
      <c r="D76" s="3" t="s">
        <v>27</v>
      </c>
      <c r="E76" s="1" t="str">
        <f t="shared" si="42"/>
        <v>f</v>
      </c>
      <c r="F76" s="1" t="str">
        <f t="shared" si="32"/>
        <v>M</v>
      </c>
      <c r="G76" s="1" t="str">
        <f t="shared" si="33"/>
        <v>D</v>
      </c>
      <c r="H76" s="1">
        <v>1</v>
      </c>
      <c r="I76" s="1">
        <v>1</v>
      </c>
      <c r="J76" s="8" t="s">
        <v>276</v>
      </c>
      <c r="K76" s="8">
        <v>4</v>
      </c>
      <c r="L76" s="8">
        <v>2</v>
      </c>
      <c r="M76" s="8">
        <v>7</v>
      </c>
      <c r="N76" s="8">
        <v>16.2</v>
      </c>
      <c r="O76" s="8">
        <v>1</v>
      </c>
      <c r="P76" s="1" t="s">
        <v>8</v>
      </c>
      <c r="Q76" s="3">
        <v>45665</v>
      </c>
      <c r="R76" s="3">
        <v>45666</v>
      </c>
      <c r="S76" s="3">
        <v>45656</v>
      </c>
      <c r="T76" s="3">
        <v>45657</v>
      </c>
      <c r="U76" s="1">
        <f t="shared" si="34"/>
        <v>9</v>
      </c>
      <c r="V76" s="3">
        <v>45683</v>
      </c>
      <c r="W76" s="1">
        <f t="shared" si="37"/>
        <v>17</v>
      </c>
      <c r="X76" s="3">
        <v>45688</v>
      </c>
      <c r="Y76" s="1">
        <f t="shared" si="43"/>
        <v>22</v>
      </c>
      <c r="Z76" s="1">
        <f t="shared" si="44"/>
        <v>8</v>
      </c>
      <c r="AB76" s="3">
        <v>45702</v>
      </c>
      <c r="AD76" s="11" t="s">
        <v>86</v>
      </c>
      <c r="AE76" s="11">
        <v>45697</v>
      </c>
      <c r="AF76" s="1">
        <f t="shared" si="35"/>
        <v>31</v>
      </c>
      <c r="AG76" s="8">
        <v>0</v>
      </c>
      <c r="AH76" s="5">
        <v>1.022</v>
      </c>
      <c r="AI76" s="1">
        <v>2</v>
      </c>
      <c r="AJ76" s="3">
        <v>45670</v>
      </c>
      <c r="AK76" s="5">
        <f t="shared" si="38"/>
        <v>7.8189999999999991</v>
      </c>
      <c r="AL76" s="5">
        <v>8.8409999999999993</v>
      </c>
      <c r="AM76" s="1">
        <v>2</v>
      </c>
      <c r="AN76" s="3">
        <f t="shared" si="39"/>
        <v>45684</v>
      </c>
      <c r="AO76" s="8">
        <v>8.4640000000000004</v>
      </c>
      <c r="AP76" s="8">
        <v>2</v>
      </c>
      <c r="AQ76" s="3">
        <f t="shared" si="45"/>
        <v>45689</v>
      </c>
      <c r="AR76" s="5">
        <f t="shared" si="46"/>
        <v>7.4420000000000002</v>
      </c>
      <c r="AS76" s="1">
        <v>21</v>
      </c>
      <c r="AT76" s="1">
        <v>25</v>
      </c>
      <c r="AU76" s="1">
        <v>102</v>
      </c>
      <c r="AV76" s="1">
        <f t="shared" si="36"/>
        <v>148</v>
      </c>
      <c r="AW76" s="1">
        <v>83</v>
      </c>
      <c r="AX76" s="1">
        <v>434</v>
      </c>
      <c r="AY76" s="1">
        <v>202</v>
      </c>
      <c r="AZ76" s="1">
        <f t="shared" si="40"/>
        <v>719</v>
      </c>
      <c r="BA76" s="1">
        <v>11</v>
      </c>
      <c r="BB76" s="1">
        <v>0</v>
      </c>
      <c r="BC76" s="1">
        <v>9</v>
      </c>
      <c r="BD76" s="1" t="s">
        <v>12</v>
      </c>
      <c r="BE76" s="1" t="s">
        <v>12</v>
      </c>
      <c r="BF76" s="1" t="s">
        <v>12</v>
      </c>
      <c r="BG76" s="1" t="s">
        <v>12</v>
      </c>
      <c r="BH76" s="1" t="s">
        <v>12</v>
      </c>
      <c r="BI76" s="1">
        <f>BA76+BB76+BC76</f>
        <v>20</v>
      </c>
      <c r="BJ76" s="1">
        <f t="shared" si="41"/>
        <v>887</v>
      </c>
      <c r="BK76" s="3">
        <v>45696</v>
      </c>
      <c r="BL76" s="6"/>
      <c r="BM76" s="6" t="s">
        <v>97</v>
      </c>
      <c r="BN76" s="6" t="s">
        <v>209</v>
      </c>
      <c r="BO76" s="13">
        <v>53.35</v>
      </c>
      <c r="BP76" s="13">
        <v>6.25</v>
      </c>
      <c r="BQ76" s="1">
        <v>6</v>
      </c>
      <c r="BR76" s="1">
        <v>0</v>
      </c>
      <c r="BS76" s="1">
        <f t="shared" si="47"/>
        <v>6</v>
      </c>
      <c r="BT76" s="1">
        <v>11</v>
      </c>
      <c r="BU76" s="1">
        <v>0</v>
      </c>
      <c r="BV76" s="1">
        <f t="shared" si="48"/>
        <v>11</v>
      </c>
      <c r="BW76" s="1">
        <v>8</v>
      </c>
      <c r="BX76" s="1">
        <v>1</v>
      </c>
      <c r="BY76" s="1">
        <f t="shared" si="49"/>
        <v>9</v>
      </c>
      <c r="BZ76" s="1">
        <v>14</v>
      </c>
      <c r="CA76" s="1">
        <v>0</v>
      </c>
      <c r="CB76" s="1">
        <f t="shared" si="50"/>
        <v>14</v>
      </c>
      <c r="CC76" s="1">
        <f t="shared" si="51"/>
        <v>40</v>
      </c>
      <c r="CE76" s="7">
        <f t="shared" si="52"/>
        <v>40</v>
      </c>
      <c r="CF76" s="8">
        <v>4</v>
      </c>
      <c r="CG76" s="8">
        <v>5</v>
      </c>
      <c r="CH76" s="8">
        <v>5</v>
      </c>
      <c r="CI76" s="8">
        <v>4</v>
      </c>
      <c r="CJ76" s="8">
        <v>7</v>
      </c>
      <c r="CK76" s="8">
        <v>1</v>
      </c>
      <c r="CL76" s="8">
        <v>0</v>
      </c>
      <c r="CM76" s="8">
        <v>0</v>
      </c>
      <c r="CN76" s="1">
        <f t="shared" si="53"/>
        <v>26</v>
      </c>
      <c r="CO76" s="1">
        <f t="shared" si="54"/>
        <v>0.65</v>
      </c>
      <c r="CP76" s="8">
        <v>3.3639999999999999</v>
      </c>
      <c r="CQ76" s="8">
        <v>4</v>
      </c>
      <c r="CR76" s="1">
        <f>CP76/CQ76</f>
        <v>0.84099999999999997</v>
      </c>
      <c r="CS76" s="1">
        <v>2.5670000000000002</v>
      </c>
      <c r="CT76" s="8">
        <v>4</v>
      </c>
      <c r="CU76" s="1">
        <f>CS76/CT76</f>
        <v>0.64175000000000004</v>
      </c>
    </row>
    <row r="77" spans="1:99" x14ac:dyDescent="0.25">
      <c r="A77" s="1">
        <v>77</v>
      </c>
      <c r="B77" s="1">
        <v>75</v>
      </c>
      <c r="C77" s="2" t="s">
        <v>104</v>
      </c>
      <c r="D77" s="3" t="s">
        <v>27</v>
      </c>
      <c r="E77" s="1" t="str">
        <f t="shared" si="42"/>
        <v>f</v>
      </c>
      <c r="F77" s="1" t="str">
        <f t="shared" si="32"/>
        <v>C</v>
      </c>
      <c r="G77" s="1" t="str">
        <f t="shared" si="33"/>
        <v>A</v>
      </c>
      <c r="H77" s="1">
        <v>0</v>
      </c>
      <c r="I77" s="1">
        <v>0</v>
      </c>
      <c r="J77" s="8" t="s">
        <v>278</v>
      </c>
      <c r="K77" s="8">
        <v>4</v>
      </c>
      <c r="L77" s="8">
        <v>2</v>
      </c>
      <c r="M77" s="8">
        <v>7</v>
      </c>
      <c r="N77" s="8">
        <v>17.2</v>
      </c>
      <c r="O77" s="8">
        <v>1</v>
      </c>
      <c r="P77" s="1" t="s">
        <v>8</v>
      </c>
      <c r="Q77" s="3">
        <v>45665</v>
      </c>
      <c r="R77" s="3">
        <v>45666</v>
      </c>
      <c r="S77" s="3">
        <v>45656</v>
      </c>
      <c r="T77" s="3">
        <v>45657</v>
      </c>
      <c r="U77" s="1">
        <f t="shared" si="34"/>
        <v>9</v>
      </c>
      <c r="V77" s="3">
        <v>45686</v>
      </c>
      <c r="W77" s="1">
        <f t="shared" si="37"/>
        <v>20</v>
      </c>
      <c r="X77" s="3">
        <v>45691</v>
      </c>
      <c r="Y77" s="1">
        <f t="shared" si="43"/>
        <v>25</v>
      </c>
      <c r="Z77" s="1">
        <f t="shared" si="44"/>
        <v>7</v>
      </c>
      <c r="AB77" s="3">
        <v>45704</v>
      </c>
      <c r="AD77" s="11" t="s">
        <v>86</v>
      </c>
      <c r="AE77" s="11">
        <v>45697</v>
      </c>
      <c r="AF77" s="1">
        <f t="shared" si="35"/>
        <v>31</v>
      </c>
      <c r="AG77" s="8">
        <v>0</v>
      </c>
      <c r="AH77" s="5">
        <v>0.52200000000000002</v>
      </c>
      <c r="AI77" s="1">
        <v>2</v>
      </c>
      <c r="AJ77" s="3">
        <v>45670</v>
      </c>
      <c r="AK77" s="5">
        <f t="shared" si="38"/>
        <v>8.4610000000000003</v>
      </c>
      <c r="AL77" s="5">
        <v>8.9830000000000005</v>
      </c>
      <c r="AM77" s="1">
        <v>2</v>
      </c>
      <c r="AN77" s="3">
        <f t="shared" si="39"/>
        <v>45687</v>
      </c>
      <c r="AO77" s="8">
        <v>8.8239999999999998</v>
      </c>
      <c r="AP77" s="8">
        <v>2</v>
      </c>
      <c r="AQ77" s="3">
        <f t="shared" si="45"/>
        <v>45692</v>
      </c>
      <c r="AR77" s="5">
        <f t="shared" si="46"/>
        <v>8.3019999999999996</v>
      </c>
      <c r="AS77" s="1">
        <v>11</v>
      </c>
      <c r="AT77" s="1">
        <v>18</v>
      </c>
      <c r="AU77" s="1">
        <v>30</v>
      </c>
      <c r="AV77" s="1">
        <f t="shared" si="36"/>
        <v>59</v>
      </c>
      <c r="AW77" s="1">
        <v>24</v>
      </c>
      <c r="AX77" s="1">
        <v>67</v>
      </c>
      <c r="AY77" s="1">
        <v>398</v>
      </c>
      <c r="AZ77" s="1">
        <f t="shared" si="40"/>
        <v>489</v>
      </c>
      <c r="BA77" s="1">
        <v>378</v>
      </c>
      <c r="BB77" s="1">
        <v>57</v>
      </c>
      <c r="BC77" s="1">
        <v>0</v>
      </c>
      <c r="BD77" s="1">
        <v>0</v>
      </c>
      <c r="BE77" s="1" t="s">
        <v>12</v>
      </c>
      <c r="BF77" s="1" t="s">
        <v>12</v>
      </c>
      <c r="BG77" s="1" t="s">
        <v>12</v>
      </c>
      <c r="BH77" s="1" t="s">
        <v>12</v>
      </c>
      <c r="BI77" s="1">
        <f>BA77+BB77+BC77+BD77</f>
        <v>435</v>
      </c>
      <c r="BJ77" s="1">
        <f t="shared" si="41"/>
        <v>983</v>
      </c>
      <c r="BK77" s="3">
        <v>45698</v>
      </c>
      <c r="BL77" s="6"/>
      <c r="BM77" s="6" t="s">
        <v>105</v>
      </c>
      <c r="BN77" s="6" t="s">
        <v>218</v>
      </c>
      <c r="BO77" s="13">
        <v>55.25</v>
      </c>
      <c r="BP77" s="13">
        <v>4.3499999999999996</v>
      </c>
      <c r="BQ77" s="1">
        <v>1</v>
      </c>
      <c r="BR77" s="1">
        <v>0</v>
      </c>
      <c r="BS77" s="1">
        <f t="shared" si="47"/>
        <v>1</v>
      </c>
      <c r="BT77" s="1">
        <v>4</v>
      </c>
      <c r="BU77" s="1">
        <v>0</v>
      </c>
      <c r="BV77" s="1">
        <f t="shared" si="48"/>
        <v>4</v>
      </c>
      <c r="BW77" s="1">
        <v>8</v>
      </c>
      <c r="BX77" s="1">
        <v>0</v>
      </c>
      <c r="BY77" s="1">
        <f t="shared" si="49"/>
        <v>8</v>
      </c>
      <c r="BZ77" s="1">
        <v>3</v>
      </c>
      <c r="CA77" s="1">
        <v>1</v>
      </c>
      <c r="CB77" s="1">
        <f t="shared" si="50"/>
        <v>4</v>
      </c>
      <c r="CC77" s="1">
        <f t="shared" si="51"/>
        <v>17</v>
      </c>
      <c r="CE77" s="7">
        <f t="shared" si="52"/>
        <v>17</v>
      </c>
      <c r="CF77" s="8">
        <v>0</v>
      </c>
      <c r="CG77" s="8">
        <v>1</v>
      </c>
      <c r="CH77" s="8">
        <v>10</v>
      </c>
      <c r="CI77" s="8">
        <v>3</v>
      </c>
      <c r="CJ77" s="8">
        <v>0</v>
      </c>
      <c r="CK77" s="8">
        <v>0</v>
      </c>
      <c r="CL77" s="8">
        <v>0</v>
      </c>
      <c r="CM77" s="8">
        <v>0</v>
      </c>
      <c r="CN77" s="1">
        <f t="shared" si="53"/>
        <v>14</v>
      </c>
      <c r="CO77" s="1">
        <f t="shared" si="54"/>
        <v>0.82352941176470584</v>
      </c>
      <c r="CP77" s="8">
        <v>3.2050000000000001</v>
      </c>
      <c r="CQ77" s="8">
        <v>5</v>
      </c>
      <c r="CR77" s="1">
        <f>CP77/CQ77</f>
        <v>0.64100000000000001</v>
      </c>
      <c r="CS77" s="1">
        <v>2.9990000000000001</v>
      </c>
      <c r="CT77" s="8">
        <v>3</v>
      </c>
      <c r="CU77" s="1">
        <f>CS77/CT77</f>
        <v>0.9996666666666667</v>
      </c>
    </row>
    <row r="78" spans="1:99" x14ac:dyDescent="0.25">
      <c r="A78" s="1">
        <v>78</v>
      </c>
      <c r="B78" s="1">
        <v>76</v>
      </c>
      <c r="C78" s="2" t="s">
        <v>103</v>
      </c>
      <c r="D78" s="3" t="s">
        <v>10</v>
      </c>
      <c r="E78" s="1" t="str">
        <f t="shared" si="42"/>
        <v>m</v>
      </c>
      <c r="F78" s="1" t="str">
        <f t="shared" si="32"/>
        <v>A</v>
      </c>
      <c r="G78" s="1" t="str">
        <f t="shared" si="33"/>
        <v>B</v>
      </c>
      <c r="H78" s="1">
        <v>1</v>
      </c>
      <c r="I78" s="1">
        <v>0</v>
      </c>
      <c r="J78" s="8" t="s">
        <v>278</v>
      </c>
      <c r="K78" s="8">
        <v>4</v>
      </c>
      <c r="L78" s="8">
        <v>2</v>
      </c>
      <c r="M78" s="8">
        <v>8</v>
      </c>
      <c r="N78" s="8">
        <v>17.2</v>
      </c>
      <c r="O78" s="8">
        <v>1</v>
      </c>
      <c r="P78" s="1" t="s">
        <v>8</v>
      </c>
      <c r="Q78" s="3">
        <v>45665</v>
      </c>
      <c r="R78" s="3">
        <v>45666</v>
      </c>
      <c r="S78" s="3">
        <v>45656</v>
      </c>
      <c r="T78" s="3">
        <v>45657</v>
      </c>
      <c r="U78" s="1">
        <f t="shared" si="34"/>
        <v>9</v>
      </c>
      <c r="V78" s="3">
        <v>45683</v>
      </c>
      <c r="W78" s="1">
        <f t="shared" si="37"/>
        <v>17</v>
      </c>
      <c r="X78" s="3">
        <v>45689</v>
      </c>
      <c r="Y78" s="1">
        <f t="shared" si="43"/>
        <v>23</v>
      </c>
      <c r="Z78" s="1">
        <f t="shared" si="44"/>
        <v>8</v>
      </c>
      <c r="AB78" s="3">
        <v>45699</v>
      </c>
      <c r="AD78" s="11" t="s">
        <v>86</v>
      </c>
      <c r="AE78" s="11">
        <v>45697</v>
      </c>
      <c r="AF78" s="1">
        <f t="shared" si="35"/>
        <v>31</v>
      </c>
      <c r="AG78" s="8">
        <v>0</v>
      </c>
      <c r="AH78" s="5">
        <v>0.871</v>
      </c>
      <c r="AI78" s="1">
        <v>2</v>
      </c>
      <c r="AJ78" s="3">
        <v>45670</v>
      </c>
      <c r="AK78" s="5">
        <f t="shared" si="38"/>
        <v>6.6969999999999992</v>
      </c>
      <c r="AL78" s="5">
        <v>7.5679999999999996</v>
      </c>
      <c r="AM78" s="1">
        <v>2</v>
      </c>
      <c r="AN78" s="3">
        <f t="shared" si="39"/>
        <v>45684</v>
      </c>
      <c r="AO78" s="8">
        <v>7.3860000000000001</v>
      </c>
      <c r="AP78" s="8">
        <v>2</v>
      </c>
      <c r="AQ78" s="3">
        <f t="shared" si="45"/>
        <v>45690</v>
      </c>
      <c r="AR78" s="5">
        <f t="shared" si="46"/>
        <v>6.5150000000000006</v>
      </c>
      <c r="AS78" s="1">
        <v>11</v>
      </c>
      <c r="AT78" s="1">
        <v>18</v>
      </c>
      <c r="AU78" s="1">
        <v>62</v>
      </c>
      <c r="AV78" s="1">
        <f t="shared" si="36"/>
        <v>91</v>
      </c>
      <c r="AW78" s="1">
        <v>38</v>
      </c>
      <c r="AX78" s="1">
        <v>223</v>
      </c>
      <c r="AY78" s="1">
        <v>297</v>
      </c>
      <c r="AZ78" s="1">
        <f t="shared" si="40"/>
        <v>558</v>
      </c>
      <c r="BA78" s="1">
        <v>40</v>
      </c>
      <c r="BB78" s="1">
        <v>0</v>
      </c>
      <c r="BC78" s="1">
        <v>0</v>
      </c>
      <c r="BD78" s="1" t="s">
        <v>12</v>
      </c>
      <c r="BE78" s="1" t="s">
        <v>12</v>
      </c>
      <c r="BF78" s="1" t="s">
        <v>12</v>
      </c>
      <c r="BG78" s="1" t="s">
        <v>12</v>
      </c>
      <c r="BH78" s="1" t="s">
        <v>12</v>
      </c>
      <c r="BI78" s="1">
        <f>BA78+BB78+BC78</f>
        <v>40</v>
      </c>
      <c r="BJ78" s="1">
        <f t="shared" si="41"/>
        <v>689</v>
      </c>
      <c r="BK78" s="3">
        <v>45697</v>
      </c>
      <c r="BL78" s="6" t="s">
        <v>102</v>
      </c>
      <c r="BM78" s="6"/>
      <c r="BN78" s="6" t="s">
        <v>215</v>
      </c>
      <c r="BO78" s="13">
        <v>54.06</v>
      </c>
      <c r="BP78" s="13">
        <v>5.54</v>
      </c>
      <c r="BQ78" s="1">
        <v>2</v>
      </c>
      <c r="BR78" s="1">
        <v>1</v>
      </c>
      <c r="BS78" s="1">
        <f t="shared" si="47"/>
        <v>3</v>
      </c>
      <c r="BT78" s="1">
        <v>3</v>
      </c>
      <c r="BU78" s="1">
        <v>0</v>
      </c>
      <c r="BV78" s="1">
        <f t="shared" si="48"/>
        <v>3</v>
      </c>
      <c r="BW78" s="1">
        <v>3</v>
      </c>
      <c r="BX78" s="1">
        <v>0</v>
      </c>
      <c r="BY78" s="1">
        <f t="shared" si="49"/>
        <v>3</v>
      </c>
      <c r="BZ78" s="1">
        <v>11</v>
      </c>
      <c r="CA78" s="1">
        <v>0</v>
      </c>
      <c r="CB78" s="1">
        <f t="shared" si="50"/>
        <v>11</v>
      </c>
      <c r="CC78" s="1">
        <f t="shared" si="51"/>
        <v>20</v>
      </c>
      <c r="CE78" s="7">
        <f t="shared" si="52"/>
        <v>20</v>
      </c>
      <c r="CF78" s="1">
        <v>0</v>
      </c>
      <c r="CG78" s="8">
        <v>0</v>
      </c>
      <c r="CH78" s="8">
        <v>0</v>
      </c>
      <c r="CI78" s="8">
        <v>0</v>
      </c>
      <c r="CJ78" s="8">
        <v>3</v>
      </c>
      <c r="CK78" s="8">
        <v>1</v>
      </c>
      <c r="CL78" s="8">
        <v>0</v>
      </c>
      <c r="CM78" s="8">
        <v>0</v>
      </c>
      <c r="CN78" s="1">
        <f t="shared" si="53"/>
        <v>4</v>
      </c>
      <c r="CO78" s="1">
        <f t="shared" si="54"/>
        <v>0.2</v>
      </c>
      <c r="CP78" s="1" t="s">
        <v>12</v>
      </c>
      <c r="CQ78" s="1" t="s">
        <v>12</v>
      </c>
      <c r="CR78" s="1" t="s">
        <v>12</v>
      </c>
      <c r="CS78" s="1" t="s">
        <v>12</v>
      </c>
      <c r="CT78" s="1" t="s">
        <v>12</v>
      </c>
      <c r="CU78" s="1" t="s">
        <v>12</v>
      </c>
    </row>
    <row r="79" spans="1:99" x14ac:dyDescent="0.25">
      <c r="A79" s="1">
        <v>79</v>
      </c>
      <c r="B79" s="1">
        <v>77</v>
      </c>
      <c r="C79" s="2" t="s">
        <v>106</v>
      </c>
      <c r="D79" s="3" t="s">
        <v>27</v>
      </c>
      <c r="E79" s="1" t="str">
        <f t="shared" si="42"/>
        <v>f</v>
      </c>
      <c r="F79" s="1" t="str">
        <f t="shared" si="32"/>
        <v>C</v>
      </c>
      <c r="G79" s="1" t="str">
        <f t="shared" si="33"/>
        <v>A</v>
      </c>
      <c r="H79" s="1">
        <v>0</v>
      </c>
      <c r="I79" s="1">
        <v>0</v>
      </c>
      <c r="J79" s="8" t="s">
        <v>278</v>
      </c>
      <c r="K79" s="8">
        <v>4</v>
      </c>
      <c r="L79" s="8">
        <v>2</v>
      </c>
      <c r="M79" s="8">
        <v>8</v>
      </c>
      <c r="N79" s="8">
        <v>16.2</v>
      </c>
      <c r="O79" s="8">
        <v>1</v>
      </c>
      <c r="P79" s="1" t="s">
        <v>8</v>
      </c>
      <c r="Q79" s="3">
        <v>45665</v>
      </c>
      <c r="R79" s="3">
        <v>45666</v>
      </c>
      <c r="S79" s="3">
        <v>45656</v>
      </c>
      <c r="T79" s="3">
        <v>45657</v>
      </c>
      <c r="U79" s="1">
        <f t="shared" si="34"/>
        <v>9</v>
      </c>
      <c r="V79" s="3">
        <v>45684</v>
      </c>
      <c r="W79" s="1">
        <f t="shared" si="37"/>
        <v>18</v>
      </c>
      <c r="X79" s="3">
        <v>45689</v>
      </c>
      <c r="Y79" s="1">
        <f t="shared" si="43"/>
        <v>23</v>
      </c>
      <c r="AB79" s="3">
        <v>45698</v>
      </c>
      <c r="AD79" s="11" t="s">
        <v>86</v>
      </c>
      <c r="AE79" s="11">
        <v>45697</v>
      </c>
      <c r="AF79" s="1">
        <f t="shared" si="35"/>
        <v>31</v>
      </c>
      <c r="AG79" s="8">
        <v>0</v>
      </c>
      <c r="AH79" s="5">
        <v>0.55500000000000005</v>
      </c>
      <c r="AI79" s="1">
        <v>2</v>
      </c>
      <c r="AJ79" s="3">
        <v>45670</v>
      </c>
      <c r="AK79" s="5" t="s">
        <v>12</v>
      </c>
      <c r="AL79" s="5" t="s">
        <v>12</v>
      </c>
      <c r="AM79" s="1" t="s">
        <v>12</v>
      </c>
      <c r="AN79" s="3">
        <f t="shared" si="39"/>
        <v>45685</v>
      </c>
      <c r="AO79" s="8">
        <v>8.141</v>
      </c>
      <c r="AP79" s="8">
        <v>2</v>
      </c>
      <c r="AQ79" s="3">
        <f t="shared" si="45"/>
        <v>45690</v>
      </c>
      <c r="AR79" s="5">
        <f t="shared" si="46"/>
        <v>7.5860000000000003</v>
      </c>
      <c r="AS79" s="1">
        <v>11</v>
      </c>
      <c r="AT79" s="1">
        <v>27</v>
      </c>
      <c r="AU79" s="1">
        <v>58</v>
      </c>
      <c r="AV79" s="1">
        <f t="shared" si="36"/>
        <v>96</v>
      </c>
      <c r="AW79" s="1">
        <v>39</v>
      </c>
      <c r="AX79" s="1">
        <v>101</v>
      </c>
      <c r="AY79" s="1">
        <v>259</v>
      </c>
      <c r="AZ79" s="1">
        <f t="shared" si="40"/>
        <v>399</v>
      </c>
      <c r="BA79" s="1">
        <v>166</v>
      </c>
      <c r="BB79" s="1">
        <v>3</v>
      </c>
      <c r="BC79" s="1">
        <v>0</v>
      </c>
      <c r="BD79" s="1" t="s">
        <v>12</v>
      </c>
      <c r="BE79" s="1" t="s">
        <v>12</v>
      </c>
      <c r="BF79" s="1" t="s">
        <v>12</v>
      </c>
      <c r="BG79" s="1" t="s">
        <v>12</v>
      </c>
      <c r="BH79" s="1" t="s">
        <v>12</v>
      </c>
      <c r="BI79" s="1">
        <f>BA79+BB79+BC79</f>
        <v>169</v>
      </c>
      <c r="BJ79" s="1">
        <f t="shared" si="41"/>
        <v>664</v>
      </c>
      <c r="BK79" s="3" t="s">
        <v>12</v>
      </c>
      <c r="BL79" s="10" t="s">
        <v>12</v>
      </c>
      <c r="BM79" s="10" t="s">
        <v>12</v>
      </c>
      <c r="BN79" s="14" t="s">
        <v>12</v>
      </c>
      <c r="BO79" s="13" t="s">
        <v>12</v>
      </c>
      <c r="BP79" s="13" t="s">
        <v>12</v>
      </c>
      <c r="BQ79" s="13" t="s">
        <v>12</v>
      </c>
      <c r="BR79" s="13" t="s">
        <v>12</v>
      </c>
      <c r="BS79" s="13" t="s">
        <v>12</v>
      </c>
      <c r="BT79" s="13" t="s">
        <v>12</v>
      </c>
      <c r="BU79" s="13" t="s">
        <v>12</v>
      </c>
      <c r="BV79" s="13" t="s">
        <v>12</v>
      </c>
      <c r="BW79" s="13" t="s">
        <v>12</v>
      </c>
      <c r="BX79" s="13" t="s">
        <v>12</v>
      </c>
      <c r="BY79" s="13" t="s">
        <v>12</v>
      </c>
      <c r="BZ79" s="13" t="s">
        <v>12</v>
      </c>
      <c r="CA79" s="13" t="s">
        <v>12</v>
      </c>
      <c r="CB79" s="13" t="s">
        <v>12</v>
      </c>
      <c r="CC79" s="13" t="s">
        <v>12</v>
      </c>
      <c r="CD79" s="13"/>
      <c r="CE79" s="13" t="s">
        <v>12</v>
      </c>
      <c r="CF79" s="13" t="s">
        <v>12</v>
      </c>
      <c r="CG79" s="13" t="s">
        <v>12</v>
      </c>
      <c r="CH79" s="13" t="s">
        <v>12</v>
      </c>
      <c r="CI79" s="13" t="s">
        <v>12</v>
      </c>
      <c r="CJ79" s="13" t="s">
        <v>12</v>
      </c>
      <c r="CK79" s="13" t="s">
        <v>12</v>
      </c>
      <c r="CL79" s="13" t="s">
        <v>12</v>
      </c>
      <c r="CM79" s="13" t="s">
        <v>12</v>
      </c>
      <c r="CN79" s="13" t="s">
        <v>12</v>
      </c>
      <c r="CO79" s="13" t="s">
        <v>12</v>
      </c>
    </row>
    <row r="80" spans="1:99" x14ac:dyDescent="0.25">
      <c r="A80" s="1">
        <v>80</v>
      </c>
      <c r="B80" s="1">
        <v>78</v>
      </c>
      <c r="C80" s="2" t="s">
        <v>107</v>
      </c>
      <c r="D80" s="1" t="s">
        <v>280</v>
      </c>
      <c r="E80" s="1" t="s">
        <v>12</v>
      </c>
      <c r="F80" s="1" t="str">
        <f t="shared" si="32"/>
        <v>I</v>
      </c>
      <c r="G80" s="1" t="str">
        <f t="shared" si="33"/>
        <v>C</v>
      </c>
      <c r="H80" s="1">
        <v>0</v>
      </c>
      <c r="I80" s="1">
        <v>1</v>
      </c>
      <c r="J80" s="8" t="s">
        <v>278</v>
      </c>
      <c r="K80" s="8">
        <v>4</v>
      </c>
      <c r="L80" s="8">
        <v>2</v>
      </c>
      <c r="M80" s="8">
        <v>8</v>
      </c>
      <c r="N80" s="8">
        <v>15.2</v>
      </c>
      <c r="O80" s="8"/>
      <c r="P80" s="1" t="s">
        <v>8</v>
      </c>
      <c r="Q80" s="3">
        <v>45665</v>
      </c>
      <c r="R80" s="3">
        <v>45666</v>
      </c>
      <c r="S80" s="3">
        <v>45656</v>
      </c>
      <c r="T80" s="3">
        <v>45657</v>
      </c>
      <c r="U80" s="1">
        <f t="shared" si="34"/>
        <v>9</v>
      </c>
      <c r="V80" s="3">
        <v>45683</v>
      </c>
      <c r="W80" s="1">
        <f t="shared" si="37"/>
        <v>17</v>
      </c>
      <c r="X80" s="3" t="s">
        <v>12</v>
      </c>
      <c r="Y80" s="1" t="s">
        <v>12</v>
      </c>
      <c r="AA80" s="3">
        <v>45690</v>
      </c>
      <c r="AD80" s="11"/>
      <c r="AE80" s="11">
        <f>AA80</f>
        <v>45690</v>
      </c>
      <c r="AF80" s="1">
        <f t="shared" si="35"/>
        <v>24</v>
      </c>
      <c r="AG80" s="1">
        <v>1</v>
      </c>
      <c r="AH80" s="5">
        <v>0.84</v>
      </c>
      <c r="AI80" s="1">
        <v>2</v>
      </c>
      <c r="AJ80" s="3">
        <v>45670</v>
      </c>
      <c r="AK80" s="5">
        <f>AL80-AH80</f>
        <v>6.6710000000000003</v>
      </c>
      <c r="AL80" s="5">
        <v>7.5110000000000001</v>
      </c>
      <c r="AM80" s="1">
        <v>2</v>
      </c>
      <c r="AN80" s="3">
        <f t="shared" si="39"/>
        <v>45684</v>
      </c>
      <c r="AO80" s="1" t="s">
        <v>12</v>
      </c>
      <c r="AP80" s="5" t="s">
        <v>12</v>
      </c>
      <c r="AQ80" s="3" t="s">
        <v>12</v>
      </c>
      <c r="AR80" s="1" t="s">
        <v>12</v>
      </c>
      <c r="AS80" s="1">
        <v>10</v>
      </c>
      <c r="AT80" s="1">
        <v>17</v>
      </c>
      <c r="AU80" s="1">
        <v>55</v>
      </c>
      <c r="AV80" s="1">
        <f t="shared" si="36"/>
        <v>82</v>
      </c>
      <c r="AW80" s="1">
        <v>124</v>
      </c>
      <c r="AX80" s="1">
        <v>207</v>
      </c>
      <c r="AY80" s="1">
        <v>178</v>
      </c>
      <c r="AZ80" s="1">
        <f t="shared" si="40"/>
        <v>509</v>
      </c>
      <c r="BA80" s="1">
        <v>12</v>
      </c>
      <c r="BB80" s="1">
        <v>0</v>
      </c>
      <c r="BC80" s="1">
        <v>0</v>
      </c>
      <c r="BD80" s="1" t="s">
        <v>12</v>
      </c>
      <c r="BE80" s="1" t="s">
        <v>12</v>
      </c>
      <c r="BF80" s="1" t="s">
        <v>12</v>
      </c>
      <c r="BG80" s="1" t="s">
        <v>12</v>
      </c>
      <c r="BH80" s="1" t="s">
        <v>12</v>
      </c>
      <c r="BI80" s="1">
        <f>BA80+BB80+BC80</f>
        <v>12</v>
      </c>
      <c r="BJ80" s="1">
        <f t="shared" si="41"/>
        <v>603</v>
      </c>
      <c r="BK80" s="3" t="s">
        <v>12</v>
      </c>
      <c r="BL80" s="10" t="s">
        <v>12</v>
      </c>
      <c r="BM80" s="10" t="s">
        <v>12</v>
      </c>
      <c r="BN80" s="14" t="s">
        <v>12</v>
      </c>
      <c r="BO80" s="13" t="s">
        <v>12</v>
      </c>
      <c r="BP80" s="13" t="s">
        <v>12</v>
      </c>
      <c r="BQ80" s="13" t="s">
        <v>12</v>
      </c>
      <c r="BR80" s="13" t="s">
        <v>12</v>
      </c>
      <c r="BS80" s="13" t="s">
        <v>12</v>
      </c>
      <c r="BT80" s="13" t="s">
        <v>12</v>
      </c>
      <c r="BU80" s="13" t="s">
        <v>12</v>
      </c>
      <c r="BV80" s="13" t="s">
        <v>12</v>
      </c>
      <c r="BW80" s="13" t="s">
        <v>12</v>
      </c>
      <c r="BX80" s="13" t="s">
        <v>12</v>
      </c>
      <c r="BY80" s="13" t="s">
        <v>12</v>
      </c>
      <c r="BZ80" s="13" t="s">
        <v>12</v>
      </c>
      <c r="CA80" s="13" t="s">
        <v>12</v>
      </c>
      <c r="CB80" s="13" t="s">
        <v>12</v>
      </c>
      <c r="CC80" s="13" t="s">
        <v>12</v>
      </c>
      <c r="CD80" s="13"/>
      <c r="CE80" s="13" t="s">
        <v>12</v>
      </c>
      <c r="CF80" s="13" t="s">
        <v>12</v>
      </c>
      <c r="CG80" s="13" t="s">
        <v>12</v>
      </c>
      <c r="CH80" s="13" t="s">
        <v>12</v>
      </c>
      <c r="CI80" s="13" t="s">
        <v>12</v>
      </c>
      <c r="CJ80" s="13" t="s">
        <v>12</v>
      </c>
      <c r="CK80" s="13" t="s">
        <v>12</v>
      </c>
      <c r="CL80" s="13" t="s">
        <v>12</v>
      </c>
      <c r="CM80" s="13" t="s">
        <v>12</v>
      </c>
      <c r="CN80" s="13" t="s">
        <v>12</v>
      </c>
      <c r="CO80" s="13" t="s">
        <v>12</v>
      </c>
    </row>
    <row r="81" spans="1:99" x14ac:dyDescent="0.25">
      <c r="A81" s="1">
        <v>81</v>
      </c>
      <c r="B81" s="1">
        <v>79</v>
      </c>
      <c r="C81" s="2" t="s">
        <v>108</v>
      </c>
      <c r="D81" s="3" t="s">
        <v>27</v>
      </c>
      <c r="E81" s="1" t="str">
        <f>D81</f>
        <v>f</v>
      </c>
      <c r="F81" s="1" t="str">
        <f t="shared" si="32"/>
        <v>M</v>
      </c>
      <c r="G81" s="1" t="str">
        <f t="shared" si="33"/>
        <v>D</v>
      </c>
      <c r="H81" s="1">
        <v>1</v>
      </c>
      <c r="I81" s="1">
        <v>1</v>
      </c>
      <c r="J81" s="8" t="s">
        <v>276</v>
      </c>
      <c r="K81" s="8">
        <v>4</v>
      </c>
      <c r="L81" s="8">
        <v>2</v>
      </c>
      <c r="M81" s="8">
        <v>8</v>
      </c>
      <c r="N81" s="8">
        <v>14.2</v>
      </c>
      <c r="O81" s="8">
        <v>1</v>
      </c>
      <c r="P81" s="1" t="s">
        <v>8</v>
      </c>
      <c r="Q81" s="3">
        <v>45665</v>
      </c>
      <c r="R81" s="3">
        <v>45666</v>
      </c>
      <c r="S81" s="3">
        <v>45656</v>
      </c>
      <c r="T81" s="3">
        <v>45657</v>
      </c>
      <c r="U81" s="1">
        <f t="shared" si="34"/>
        <v>9</v>
      </c>
      <c r="V81" s="3">
        <v>45684</v>
      </c>
      <c r="W81" s="1">
        <f t="shared" si="37"/>
        <v>18</v>
      </c>
      <c r="X81" s="3">
        <v>45690</v>
      </c>
      <c r="Y81" s="1">
        <f>_xlfn.DAYS(X81,R81)</f>
        <v>24</v>
      </c>
      <c r="AA81" s="3">
        <v>45693</v>
      </c>
      <c r="AD81" s="11"/>
      <c r="AE81" s="11">
        <f>AA81</f>
        <v>45693</v>
      </c>
      <c r="AF81" s="1">
        <f t="shared" si="35"/>
        <v>27</v>
      </c>
      <c r="AG81" s="1">
        <v>1</v>
      </c>
      <c r="AH81" s="5">
        <v>0.95299999999999996</v>
      </c>
      <c r="AI81" s="1">
        <v>2</v>
      </c>
      <c r="AJ81" s="3">
        <v>45670</v>
      </c>
      <c r="AK81" s="5" t="s">
        <v>12</v>
      </c>
      <c r="AL81" s="5" t="s">
        <v>12</v>
      </c>
      <c r="AM81" s="1">
        <v>1</v>
      </c>
      <c r="AN81" s="3">
        <f t="shared" si="39"/>
        <v>45685</v>
      </c>
      <c r="AO81" s="1">
        <v>8.3879999999999999</v>
      </c>
      <c r="AP81" s="8">
        <v>2</v>
      </c>
      <c r="AQ81" s="3">
        <f>X81+1</f>
        <v>45691</v>
      </c>
      <c r="AR81" s="5">
        <f>AO81-AH81</f>
        <v>7.4349999999999996</v>
      </c>
      <c r="AS81" s="1">
        <v>14</v>
      </c>
      <c r="AT81" s="1">
        <v>21</v>
      </c>
      <c r="AU81" s="1">
        <v>82</v>
      </c>
      <c r="AV81" s="1">
        <f t="shared" si="36"/>
        <v>117</v>
      </c>
      <c r="AW81" s="1">
        <v>54</v>
      </c>
      <c r="AX81" s="1">
        <v>422</v>
      </c>
      <c r="AY81" s="1">
        <v>415</v>
      </c>
      <c r="AZ81" s="1">
        <f t="shared" si="40"/>
        <v>891</v>
      </c>
      <c r="BA81" s="1">
        <v>137</v>
      </c>
      <c r="BB81" s="1">
        <v>0</v>
      </c>
      <c r="BC81" s="1">
        <v>0</v>
      </c>
      <c r="BD81" s="1" t="s">
        <v>12</v>
      </c>
      <c r="BE81" s="1" t="s">
        <v>12</v>
      </c>
      <c r="BF81" s="1" t="s">
        <v>12</v>
      </c>
      <c r="BG81" s="1" t="s">
        <v>12</v>
      </c>
      <c r="BH81" s="1" t="s">
        <v>12</v>
      </c>
      <c r="BI81" s="1">
        <f>BA81+BB81+BC81</f>
        <v>137</v>
      </c>
      <c r="BJ81" s="1">
        <f t="shared" si="41"/>
        <v>1145</v>
      </c>
      <c r="BK81" s="3" t="s">
        <v>12</v>
      </c>
      <c r="BL81" s="10" t="s">
        <v>12</v>
      </c>
      <c r="BM81" s="10" t="s">
        <v>12</v>
      </c>
      <c r="BN81" s="14" t="s">
        <v>12</v>
      </c>
      <c r="BO81" s="13" t="s">
        <v>12</v>
      </c>
      <c r="BP81" s="13" t="s">
        <v>12</v>
      </c>
      <c r="BQ81" s="13" t="s">
        <v>12</v>
      </c>
      <c r="BR81" s="13" t="s">
        <v>12</v>
      </c>
      <c r="BS81" s="13" t="s">
        <v>12</v>
      </c>
      <c r="BT81" s="13" t="s">
        <v>12</v>
      </c>
      <c r="BU81" s="13" t="s">
        <v>12</v>
      </c>
      <c r="BV81" s="13" t="s">
        <v>12</v>
      </c>
      <c r="BW81" s="13" t="s">
        <v>12</v>
      </c>
      <c r="BX81" s="13" t="s">
        <v>12</v>
      </c>
      <c r="BY81" s="13" t="s">
        <v>12</v>
      </c>
      <c r="BZ81" s="13" t="s">
        <v>12</v>
      </c>
      <c r="CA81" s="13" t="s">
        <v>12</v>
      </c>
      <c r="CB81" s="13" t="s">
        <v>12</v>
      </c>
      <c r="CC81" s="13" t="s">
        <v>12</v>
      </c>
      <c r="CD81" s="13"/>
      <c r="CE81" s="13" t="s">
        <v>12</v>
      </c>
      <c r="CF81" s="13" t="s">
        <v>12</v>
      </c>
      <c r="CG81" s="13" t="s">
        <v>12</v>
      </c>
      <c r="CH81" s="13" t="s">
        <v>12</v>
      </c>
      <c r="CI81" s="13" t="s">
        <v>12</v>
      </c>
      <c r="CJ81" s="13" t="s">
        <v>12</v>
      </c>
      <c r="CK81" s="13" t="s">
        <v>12</v>
      </c>
      <c r="CL81" s="13" t="s">
        <v>12</v>
      </c>
      <c r="CM81" s="13" t="s">
        <v>12</v>
      </c>
      <c r="CN81" s="13" t="s">
        <v>12</v>
      </c>
      <c r="CO81" s="13" t="s">
        <v>12</v>
      </c>
    </row>
    <row r="82" spans="1:99" x14ac:dyDescent="0.25">
      <c r="A82" s="1">
        <v>82</v>
      </c>
      <c r="B82" s="1">
        <v>80</v>
      </c>
      <c r="C82" s="2" t="s">
        <v>109</v>
      </c>
      <c r="D82" s="3" t="s">
        <v>27</v>
      </c>
      <c r="E82" s="1" t="str">
        <f>D82</f>
        <v>f</v>
      </c>
      <c r="F82" s="1" t="str">
        <f t="shared" si="32"/>
        <v>M</v>
      </c>
      <c r="G82" s="1" t="str">
        <f t="shared" si="33"/>
        <v>D</v>
      </c>
      <c r="H82" s="1">
        <v>1</v>
      </c>
      <c r="I82" s="1">
        <v>1</v>
      </c>
      <c r="J82" s="8" t="s">
        <v>276</v>
      </c>
      <c r="K82" s="8">
        <v>4</v>
      </c>
      <c r="L82" s="8">
        <v>2</v>
      </c>
      <c r="M82" s="8">
        <v>9</v>
      </c>
      <c r="N82" s="1">
        <v>14.2</v>
      </c>
      <c r="O82" s="8">
        <v>1</v>
      </c>
      <c r="P82" s="1" t="s">
        <v>8</v>
      </c>
      <c r="Q82" s="3">
        <v>45665</v>
      </c>
      <c r="R82" s="3">
        <v>45666</v>
      </c>
      <c r="S82" s="3">
        <v>45656</v>
      </c>
      <c r="T82" s="3">
        <v>45657</v>
      </c>
      <c r="U82" s="1">
        <f t="shared" si="34"/>
        <v>9</v>
      </c>
      <c r="V82" s="3">
        <v>45685</v>
      </c>
      <c r="W82" s="1">
        <f t="shared" si="37"/>
        <v>19</v>
      </c>
      <c r="X82" s="3">
        <v>45690</v>
      </c>
      <c r="Y82" s="1">
        <f>_xlfn.DAYS(X82,R82)</f>
        <v>24</v>
      </c>
      <c r="AA82" s="3">
        <v>45694</v>
      </c>
      <c r="AD82" s="11"/>
      <c r="AE82" s="11">
        <f>AA82</f>
        <v>45694</v>
      </c>
      <c r="AF82" s="1">
        <f t="shared" si="35"/>
        <v>28</v>
      </c>
      <c r="AG82" s="1">
        <v>1</v>
      </c>
      <c r="AH82" s="5">
        <v>0.71</v>
      </c>
      <c r="AI82" s="1">
        <v>2</v>
      </c>
      <c r="AJ82" s="3">
        <v>45670</v>
      </c>
      <c r="AK82" s="5">
        <f>AL82-AH82</f>
        <v>7.3240000000000007</v>
      </c>
      <c r="AL82" s="5">
        <v>8.0340000000000007</v>
      </c>
      <c r="AM82" s="1">
        <v>1</v>
      </c>
      <c r="AN82" s="3">
        <f t="shared" si="39"/>
        <v>45686</v>
      </c>
      <c r="AO82" s="1">
        <v>7.7439999999999998</v>
      </c>
      <c r="AP82" s="8">
        <v>2</v>
      </c>
      <c r="AQ82" s="3">
        <f>X82+1</f>
        <v>45691</v>
      </c>
      <c r="AR82" s="5">
        <f>AO82-AH82</f>
        <v>7.0339999999999998</v>
      </c>
      <c r="AS82" s="1">
        <v>9</v>
      </c>
      <c r="AT82" s="1">
        <v>15</v>
      </c>
      <c r="AU82" s="1">
        <v>73</v>
      </c>
      <c r="AV82" s="1">
        <f t="shared" si="36"/>
        <v>97</v>
      </c>
      <c r="AW82" s="1">
        <v>6</v>
      </c>
      <c r="AX82" s="1">
        <v>49</v>
      </c>
      <c r="AY82" s="1">
        <v>274</v>
      </c>
      <c r="AZ82" s="1">
        <f t="shared" si="40"/>
        <v>329</v>
      </c>
      <c r="BA82" s="1">
        <v>249</v>
      </c>
      <c r="BB82" s="1">
        <v>6</v>
      </c>
      <c r="BC82" s="1">
        <v>3</v>
      </c>
      <c r="BD82" s="1">
        <v>0</v>
      </c>
      <c r="BE82" s="1" t="s">
        <v>12</v>
      </c>
      <c r="BF82" s="1" t="s">
        <v>12</v>
      </c>
      <c r="BG82" s="1" t="s">
        <v>12</v>
      </c>
      <c r="BH82" s="1" t="s">
        <v>12</v>
      </c>
      <c r="BI82" s="1">
        <f>BA82+BB82+BC82+BD82</f>
        <v>258</v>
      </c>
      <c r="BJ82" s="1">
        <f t="shared" si="41"/>
        <v>684</v>
      </c>
      <c r="BK82" s="3" t="s">
        <v>12</v>
      </c>
      <c r="BL82" s="10" t="s">
        <v>12</v>
      </c>
      <c r="BM82" s="10" t="s">
        <v>12</v>
      </c>
      <c r="BN82" s="14" t="s">
        <v>12</v>
      </c>
      <c r="BO82" s="13" t="s">
        <v>12</v>
      </c>
      <c r="BP82" s="13" t="s">
        <v>12</v>
      </c>
      <c r="BQ82" s="13" t="s">
        <v>12</v>
      </c>
      <c r="BR82" s="13" t="s">
        <v>12</v>
      </c>
      <c r="BS82" s="13" t="s">
        <v>12</v>
      </c>
      <c r="BT82" s="13" t="s">
        <v>12</v>
      </c>
      <c r="BU82" s="13" t="s">
        <v>12</v>
      </c>
      <c r="BV82" s="13" t="s">
        <v>12</v>
      </c>
      <c r="BW82" s="13" t="s">
        <v>12</v>
      </c>
      <c r="BX82" s="13" t="s">
        <v>12</v>
      </c>
      <c r="BY82" s="13" t="s">
        <v>12</v>
      </c>
      <c r="BZ82" s="13" t="s">
        <v>12</v>
      </c>
      <c r="CA82" s="13" t="s">
        <v>12</v>
      </c>
      <c r="CB82" s="13" t="s">
        <v>12</v>
      </c>
      <c r="CC82" s="13" t="s">
        <v>12</v>
      </c>
      <c r="CD82" s="13"/>
      <c r="CE82" s="13" t="s">
        <v>12</v>
      </c>
      <c r="CF82" s="13" t="s">
        <v>12</v>
      </c>
      <c r="CG82" s="13" t="s">
        <v>12</v>
      </c>
      <c r="CH82" s="13" t="s">
        <v>12</v>
      </c>
      <c r="CI82" s="13" t="s">
        <v>12</v>
      </c>
      <c r="CJ82" s="13" t="s">
        <v>12</v>
      </c>
      <c r="CK82" s="13" t="s">
        <v>12</v>
      </c>
      <c r="CL82" s="13" t="s">
        <v>12</v>
      </c>
      <c r="CM82" s="13" t="s">
        <v>12</v>
      </c>
      <c r="CN82" s="13" t="s">
        <v>12</v>
      </c>
      <c r="CO82" s="13" t="s">
        <v>12</v>
      </c>
    </row>
    <row r="83" spans="1:99" x14ac:dyDescent="0.25">
      <c r="A83" s="1">
        <v>83</v>
      </c>
      <c r="B83" s="1">
        <v>81</v>
      </c>
      <c r="C83" s="2" t="s">
        <v>110</v>
      </c>
      <c r="D83" s="3" t="s">
        <v>27</v>
      </c>
      <c r="E83" s="1" t="str">
        <f>D83</f>
        <v>f</v>
      </c>
      <c r="F83" s="1" t="str">
        <f t="shared" si="32"/>
        <v>C</v>
      </c>
      <c r="G83" s="1" t="str">
        <f t="shared" si="33"/>
        <v>A</v>
      </c>
      <c r="H83" s="1">
        <v>0</v>
      </c>
      <c r="I83" s="1">
        <v>0</v>
      </c>
      <c r="J83" s="8" t="s">
        <v>278</v>
      </c>
      <c r="K83" s="8">
        <v>4</v>
      </c>
      <c r="L83" s="8">
        <v>2</v>
      </c>
      <c r="M83" s="8">
        <v>9</v>
      </c>
      <c r="N83" s="8">
        <v>15.2</v>
      </c>
      <c r="O83" s="8">
        <v>1</v>
      </c>
      <c r="P83" s="1" t="s">
        <v>8</v>
      </c>
      <c r="Q83" s="3">
        <v>45665</v>
      </c>
      <c r="R83" s="3">
        <v>45666</v>
      </c>
      <c r="S83" s="3">
        <v>45656</v>
      </c>
      <c r="T83" s="3">
        <v>45657</v>
      </c>
      <c r="U83" s="1">
        <f t="shared" si="34"/>
        <v>9</v>
      </c>
      <c r="V83" s="3">
        <v>45686</v>
      </c>
      <c r="W83" s="1">
        <f t="shared" si="37"/>
        <v>20</v>
      </c>
      <c r="X83" s="3">
        <v>45691</v>
      </c>
      <c r="Y83" s="1">
        <f>_xlfn.DAYS(X83,R83)</f>
        <v>25</v>
      </c>
      <c r="AB83" s="3">
        <v>45700</v>
      </c>
      <c r="AD83" s="11" t="s">
        <v>86</v>
      </c>
      <c r="AE83" s="11">
        <v>45697</v>
      </c>
      <c r="AF83" s="1">
        <f t="shared" si="35"/>
        <v>31</v>
      </c>
      <c r="AG83" s="8">
        <v>0</v>
      </c>
      <c r="AH83" s="5">
        <v>1.101</v>
      </c>
      <c r="AI83" s="1">
        <v>2</v>
      </c>
      <c r="AJ83" s="3">
        <v>45670</v>
      </c>
      <c r="AK83" s="5">
        <f>AL83-AH83</f>
        <v>8.2519999999999989</v>
      </c>
      <c r="AL83" s="5">
        <v>9.3529999999999998</v>
      </c>
      <c r="AM83" s="1">
        <v>2</v>
      </c>
      <c r="AN83" s="3">
        <f t="shared" si="39"/>
        <v>45687</v>
      </c>
      <c r="AO83" s="1">
        <v>9.8529999999999998</v>
      </c>
      <c r="AP83" s="8">
        <v>2</v>
      </c>
      <c r="AQ83" s="3">
        <f>X83+1</f>
        <v>45692</v>
      </c>
      <c r="AR83" s="5">
        <f>AO83-AH83</f>
        <v>8.7519999999999989</v>
      </c>
      <c r="AS83" s="1">
        <v>10</v>
      </c>
      <c r="AT83" s="1">
        <v>30</v>
      </c>
      <c r="AU83" s="1">
        <v>86</v>
      </c>
      <c r="AV83" s="1">
        <f t="shared" si="36"/>
        <v>126</v>
      </c>
      <c r="AW83" s="1">
        <v>91</v>
      </c>
      <c r="AX83" s="1">
        <v>92</v>
      </c>
      <c r="AY83" s="1">
        <v>244</v>
      </c>
      <c r="AZ83" s="1">
        <f t="shared" si="40"/>
        <v>427</v>
      </c>
      <c r="BA83" s="1">
        <v>196</v>
      </c>
      <c r="BB83" s="1">
        <v>3</v>
      </c>
      <c r="BC83" s="1">
        <v>2</v>
      </c>
      <c r="BD83" s="1">
        <v>0</v>
      </c>
      <c r="BE83" s="1" t="s">
        <v>12</v>
      </c>
      <c r="BF83" s="1" t="s">
        <v>12</v>
      </c>
      <c r="BG83" s="1" t="s">
        <v>12</v>
      </c>
      <c r="BH83" s="1" t="s">
        <v>12</v>
      </c>
      <c r="BI83" s="1">
        <f>BA83+BB83+BC83+BD83</f>
        <v>201</v>
      </c>
      <c r="BJ83" s="1">
        <f t="shared" si="41"/>
        <v>754</v>
      </c>
      <c r="BK83" s="3" t="s">
        <v>12</v>
      </c>
      <c r="BL83" s="10" t="s">
        <v>12</v>
      </c>
      <c r="BM83" s="10" t="s">
        <v>12</v>
      </c>
      <c r="BN83" s="14" t="s">
        <v>12</v>
      </c>
      <c r="BO83" s="13" t="s">
        <v>12</v>
      </c>
      <c r="BP83" s="13" t="s">
        <v>12</v>
      </c>
      <c r="BQ83" s="13" t="s">
        <v>12</v>
      </c>
      <c r="BR83" s="13" t="s">
        <v>12</v>
      </c>
      <c r="BS83" s="13" t="s">
        <v>12</v>
      </c>
      <c r="BT83" s="13" t="s">
        <v>12</v>
      </c>
      <c r="BU83" s="13" t="s">
        <v>12</v>
      </c>
      <c r="BV83" s="13" t="s">
        <v>12</v>
      </c>
      <c r="BW83" s="13" t="s">
        <v>12</v>
      </c>
      <c r="BX83" s="13" t="s">
        <v>12</v>
      </c>
      <c r="BY83" s="13" t="s">
        <v>12</v>
      </c>
      <c r="BZ83" s="13" t="s">
        <v>12</v>
      </c>
      <c r="CA83" s="13" t="s">
        <v>12</v>
      </c>
      <c r="CB83" s="13" t="s">
        <v>12</v>
      </c>
      <c r="CC83" s="13" t="s">
        <v>12</v>
      </c>
      <c r="CD83" s="13"/>
      <c r="CE83" s="13" t="s">
        <v>12</v>
      </c>
      <c r="CF83" s="13" t="s">
        <v>12</v>
      </c>
      <c r="CG83" s="13" t="s">
        <v>12</v>
      </c>
      <c r="CH83" s="13" t="s">
        <v>12</v>
      </c>
      <c r="CI83" s="13" t="s">
        <v>12</v>
      </c>
      <c r="CJ83" s="13" t="s">
        <v>12</v>
      </c>
      <c r="CK83" s="13" t="s">
        <v>12</v>
      </c>
      <c r="CL83" s="13" t="s">
        <v>12</v>
      </c>
      <c r="CM83" s="13" t="s">
        <v>12</v>
      </c>
      <c r="CN83" s="13" t="s">
        <v>12</v>
      </c>
      <c r="CO83" s="13" t="s">
        <v>12</v>
      </c>
    </row>
    <row r="84" spans="1:99" x14ac:dyDescent="0.25">
      <c r="A84" s="1">
        <v>84</v>
      </c>
      <c r="B84" s="1">
        <v>82</v>
      </c>
      <c r="C84" s="2" t="s">
        <v>111</v>
      </c>
      <c r="D84" s="1" t="s">
        <v>280</v>
      </c>
      <c r="E84" s="1" t="s">
        <v>12</v>
      </c>
      <c r="F84" s="1" t="str">
        <f t="shared" si="32"/>
        <v>A</v>
      </c>
      <c r="G84" s="1" t="str">
        <f t="shared" si="33"/>
        <v>B</v>
      </c>
      <c r="H84" s="1">
        <v>1</v>
      </c>
      <c r="I84" s="1">
        <v>0</v>
      </c>
      <c r="J84" s="8" t="s">
        <v>278</v>
      </c>
      <c r="K84" s="8">
        <v>4</v>
      </c>
      <c r="L84" s="8">
        <v>2</v>
      </c>
      <c r="M84" s="8">
        <v>9</v>
      </c>
      <c r="N84" s="8">
        <v>16.2</v>
      </c>
      <c r="O84" s="8"/>
      <c r="P84" s="1" t="s">
        <v>8</v>
      </c>
      <c r="Q84" s="3">
        <v>45665</v>
      </c>
      <c r="R84" s="3">
        <v>45666</v>
      </c>
      <c r="S84" s="3">
        <v>45656</v>
      </c>
      <c r="T84" s="3">
        <v>45657</v>
      </c>
      <c r="U84" s="1">
        <f t="shared" si="34"/>
        <v>9</v>
      </c>
      <c r="V84" s="1" t="s">
        <v>12</v>
      </c>
      <c r="W84" s="1" t="s">
        <v>12</v>
      </c>
      <c r="X84" s="1" t="s">
        <v>12</v>
      </c>
      <c r="Y84" s="1" t="s">
        <v>12</v>
      </c>
      <c r="AA84" s="3">
        <v>45690</v>
      </c>
      <c r="AD84" s="11"/>
      <c r="AE84" s="11">
        <f>AA84</f>
        <v>45690</v>
      </c>
      <c r="AF84" s="1">
        <f t="shared" si="35"/>
        <v>24</v>
      </c>
      <c r="AG84" s="1">
        <v>1</v>
      </c>
      <c r="AH84" s="5">
        <v>0.47399999999999998</v>
      </c>
      <c r="AI84" s="1">
        <v>2</v>
      </c>
      <c r="AJ84" s="3">
        <v>45670</v>
      </c>
      <c r="AK84" s="5" t="s">
        <v>12</v>
      </c>
      <c r="AL84" s="5" t="s">
        <v>12</v>
      </c>
      <c r="AM84" s="1" t="s">
        <v>12</v>
      </c>
      <c r="AN84" s="3" t="s">
        <v>12</v>
      </c>
      <c r="AO84" s="1" t="s">
        <v>12</v>
      </c>
      <c r="AP84" s="5" t="s">
        <v>12</v>
      </c>
      <c r="AQ84" s="3" t="s">
        <v>12</v>
      </c>
      <c r="AR84" s="1" t="s">
        <v>12</v>
      </c>
      <c r="AS84" s="1">
        <v>14</v>
      </c>
      <c r="AT84" s="1">
        <v>19</v>
      </c>
      <c r="AU84" s="1">
        <v>18</v>
      </c>
      <c r="AV84" s="1">
        <f t="shared" si="36"/>
        <v>51</v>
      </c>
      <c r="AW84" s="1">
        <v>20</v>
      </c>
      <c r="AX84" s="1">
        <v>31</v>
      </c>
      <c r="AY84" s="1">
        <v>61</v>
      </c>
      <c r="AZ84" s="1">
        <f t="shared" si="40"/>
        <v>112</v>
      </c>
      <c r="BA84" s="1">
        <v>121</v>
      </c>
      <c r="BB84" s="1">
        <v>217</v>
      </c>
      <c r="BC84" s="1">
        <v>63</v>
      </c>
      <c r="BD84" s="1">
        <v>0</v>
      </c>
      <c r="BE84" s="1">
        <v>0</v>
      </c>
      <c r="BF84" s="1" t="s">
        <v>12</v>
      </c>
      <c r="BG84" s="1" t="s">
        <v>12</v>
      </c>
      <c r="BH84" s="1" t="s">
        <v>12</v>
      </c>
      <c r="BI84" s="1">
        <f>BA84+BB84+BC84+BD84</f>
        <v>401</v>
      </c>
      <c r="BJ84" s="1">
        <f t="shared" si="41"/>
        <v>564</v>
      </c>
      <c r="BK84" s="3" t="s">
        <v>12</v>
      </c>
      <c r="BL84" s="10" t="s">
        <v>12</v>
      </c>
      <c r="BM84" s="10" t="s">
        <v>12</v>
      </c>
      <c r="BN84" s="14" t="s">
        <v>12</v>
      </c>
      <c r="BO84" s="13" t="s">
        <v>12</v>
      </c>
      <c r="BP84" s="13" t="s">
        <v>12</v>
      </c>
      <c r="BQ84" s="13" t="s">
        <v>12</v>
      </c>
      <c r="BR84" s="13" t="s">
        <v>12</v>
      </c>
      <c r="BS84" s="13" t="s">
        <v>12</v>
      </c>
      <c r="BT84" s="13" t="s">
        <v>12</v>
      </c>
      <c r="BU84" s="13" t="s">
        <v>12</v>
      </c>
      <c r="BV84" s="13" t="s">
        <v>12</v>
      </c>
      <c r="BW84" s="13" t="s">
        <v>12</v>
      </c>
      <c r="BX84" s="13" t="s">
        <v>12</v>
      </c>
      <c r="BY84" s="13" t="s">
        <v>12</v>
      </c>
      <c r="BZ84" s="13" t="s">
        <v>12</v>
      </c>
      <c r="CA84" s="13" t="s">
        <v>12</v>
      </c>
      <c r="CB84" s="13" t="s">
        <v>12</v>
      </c>
      <c r="CC84" s="13" t="s">
        <v>12</v>
      </c>
      <c r="CD84" s="13"/>
      <c r="CE84" s="13" t="s">
        <v>12</v>
      </c>
      <c r="CF84" s="13" t="s">
        <v>12</v>
      </c>
      <c r="CG84" s="13" t="s">
        <v>12</v>
      </c>
      <c r="CH84" s="13" t="s">
        <v>12</v>
      </c>
      <c r="CI84" s="13" t="s">
        <v>12</v>
      </c>
      <c r="CJ84" s="13" t="s">
        <v>12</v>
      </c>
      <c r="CK84" s="13" t="s">
        <v>12</v>
      </c>
      <c r="CL84" s="13" t="s">
        <v>12</v>
      </c>
      <c r="CM84" s="13" t="s">
        <v>12</v>
      </c>
      <c r="CN84" s="13" t="s">
        <v>12</v>
      </c>
      <c r="CO84" s="13" t="s">
        <v>12</v>
      </c>
    </row>
    <row r="85" spans="1:99" x14ac:dyDescent="0.25">
      <c r="A85" s="1">
        <v>85</v>
      </c>
      <c r="B85" s="1">
        <v>83</v>
      </c>
      <c r="C85" s="2" t="s">
        <v>112</v>
      </c>
      <c r="D85" s="1" t="s">
        <v>280</v>
      </c>
      <c r="E85" s="1" t="s">
        <v>12</v>
      </c>
      <c r="F85" s="1" t="str">
        <f t="shared" si="32"/>
        <v>I</v>
      </c>
      <c r="G85" s="1" t="str">
        <f t="shared" si="33"/>
        <v>C</v>
      </c>
      <c r="H85" s="1">
        <v>0</v>
      </c>
      <c r="I85" s="1">
        <v>1</v>
      </c>
      <c r="J85" s="8" t="s">
        <v>278</v>
      </c>
      <c r="K85" s="8">
        <v>4</v>
      </c>
      <c r="L85" s="8">
        <v>2</v>
      </c>
      <c r="M85" s="8">
        <v>9</v>
      </c>
      <c r="N85" s="8">
        <v>17.2</v>
      </c>
      <c r="O85" s="8"/>
      <c r="P85" s="1" t="s">
        <v>8</v>
      </c>
      <c r="Q85" s="3">
        <v>45665</v>
      </c>
      <c r="R85" s="3">
        <v>45666</v>
      </c>
      <c r="S85" s="3">
        <v>45656</v>
      </c>
      <c r="T85" s="3">
        <v>45657</v>
      </c>
      <c r="U85" s="1">
        <f t="shared" si="34"/>
        <v>9</v>
      </c>
      <c r="V85" s="3">
        <v>45683</v>
      </c>
      <c r="W85" s="1">
        <f>_xlfn.DAYS(V85,R85)</f>
        <v>17</v>
      </c>
      <c r="X85" s="1" t="s">
        <v>12</v>
      </c>
      <c r="Y85" s="1" t="s">
        <v>12</v>
      </c>
      <c r="AA85" s="3">
        <v>45690</v>
      </c>
      <c r="AD85" s="11"/>
      <c r="AE85" s="11">
        <f>AA85</f>
        <v>45690</v>
      </c>
      <c r="AF85" s="1">
        <f t="shared" si="35"/>
        <v>24</v>
      </c>
      <c r="AG85" s="1">
        <v>1</v>
      </c>
      <c r="AH85" s="5">
        <v>0.77</v>
      </c>
      <c r="AI85" s="1">
        <v>2</v>
      </c>
      <c r="AJ85" s="3">
        <v>45670</v>
      </c>
      <c r="AK85" s="5">
        <f>AL85-AH85</f>
        <v>6.9960000000000004</v>
      </c>
      <c r="AL85" s="5">
        <v>7.766</v>
      </c>
      <c r="AM85" s="1">
        <v>2</v>
      </c>
      <c r="AN85" s="3">
        <f>V85+1</f>
        <v>45684</v>
      </c>
      <c r="AO85" s="1" t="s">
        <v>12</v>
      </c>
      <c r="AP85" s="5" t="s">
        <v>12</v>
      </c>
      <c r="AQ85" s="3" t="s">
        <v>12</v>
      </c>
      <c r="AR85" s="1" t="s">
        <v>12</v>
      </c>
      <c r="AS85" s="1">
        <v>11</v>
      </c>
      <c r="AT85" s="1">
        <v>33</v>
      </c>
      <c r="AU85" s="1">
        <v>66</v>
      </c>
      <c r="AV85" s="1">
        <f t="shared" si="36"/>
        <v>110</v>
      </c>
      <c r="AW85" s="1">
        <v>72</v>
      </c>
      <c r="AX85" s="1">
        <v>147</v>
      </c>
      <c r="AY85" s="1">
        <v>219</v>
      </c>
      <c r="AZ85" s="1">
        <f t="shared" si="40"/>
        <v>438</v>
      </c>
      <c r="BA85" s="1">
        <v>21</v>
      </c>
      <c r="BB85" s="1">
        <v>0</v>
      </c>
      <c r="BC85" s="1">
        <v>0</v>
      </c>
      <c r="BD85" s="1" t="s">
        <v>12</v>
      </c>
      <c r="BE85" s="1" t="s">
        <v>12</v>
      </c>
      <c r="BF85" s="1" t="s">
        <v>12</v>
      </c>
      <c r="BG85" s="1" t="s">
        <v>12</v>
      </c>
      <c r="BH85" s="1" t="s">
        <v>12</v>
      </c>
      <c r="BI85" s="1">
        <f>BA85+BB85+BC85</f>
        <v>21</v>
      </c>
      <c r="BJ85" s="1">
        <f t="shared" si="41"/>
        <v>569</v>
      </c>
      <c r="BK85" s="3" t="s">
        <v>12</v>
      </c>
      <c r="BL85" s="10" t="s">
        <v>12</v>
      </c>
      <c r="BM85" s="10" t="s">
        <v>12</v>
      </c>
      <c r="BN85" s="14" t="s">
        <v>12</v>
      </c>
      <c r="BO85" s="13" t="s">
        <v>12</v>
      </c>
      <c r="BP85" s="13" t="s">
        <v>12</v>
      </c>
      <c r="BQ85" s="13" t="s">
        <v>12</v>
      </c>
      <c r="BR85" s="13" t="s">
        <v>12</v>
      </c>
      <c r="BS85" s="13" t="s">
        <v>12</v>
      </c>
      <c r="BT85" s="13" t="s">
        <v>12</v>
      </c>
      <c r="BU85" s="13" t="s">
        <v>12</v>
      </c>
      <c r="BV85" s="13" t="s">
        <v>12</v>
      </c>
      <c r="BW85" s="13" t="s">
        <v>12</v>
      </c>
      <c r="BX85" s="13" t="s">
        <v>12</v>
      </c>
      <c r="BY85" s="13" t="s">
        <v>12</v>
      </c>
      <c r="BZ85" s="13" t="s">
        <v>12</v>
      </c>
      <c r="CA85" s="13" t="s">
        <v>12</v>
      </c>
      <c r="CB85" s="13" t="s">
        <v>12</v>
      </c>
      <c r="CC85" s="13" t="s">
        <v>12</v>
      </c>
      <c r="CD85" s="13"/>
      <c r="CE85" s="13" t="s">
        <v>12</v>
      </c>
      <c r="CF85" s="13" t="s">
        <v>12</v>
      </c>
      <c r="CG85" s="13" t="s">
        <v>12</v>
      </c>
      <c r="CH85" s="13" t="s">
        <v>12</v>
      </c>
      <c r="CI85" s="13" t="s">
        <v>12</v>
      </c>
      <c r="CJ85" s="13" t="s">
        <v>12</v>
      </c>
      <c r="CK85" s="13" t="s">
        <v>12</v>
      </c>
      <c r="CL85" s="13" t="s">
        <v>12</v>
      </c>
      <c r="CM85" s="13" t="s">
        <v>12</v>
      </c>
      <c r="CN85" s="13" t="s">
        <v>12</v>
      </c>
      <c r="CO85" s="13" t="s">
        <v>12</v>
      </c>
    </row>
    <row r="86" spans="1:99" x14ac:dyDescent="0.25">
      <c r="A86" s="1">
        <v>86</v>
      </c>
      <c r="B86" s="1">
        <v>84</v>
      </c>
      <c r="C86" s="2" t="s">
        <v>89</v>
      </c>
      <c r="D86" s="3" t="s">
        <v>27</v>
      </c>
      <c r="E86" s="1" t="str">
        <f>D86</f>
        <v>f</v>
      </c>
      <c r="F86" s="1" t="str">
        <f t="shared" si="32"/>
        <v>I</v>
      </c>
      <c r="G86" s="1" t="str">
        <f t="shared" si="33"/>
        <v>C</v>
      </c>
      <c r="H86" s="1">
        <v>0</v>
      </c>
      <c r="I86" s="1">
        <v>1</v>
      </c>
      <c r="J86" s="8" t="s">
        <v>278</v>
      </c>
      <c r="K86" s="8">
        <v>4</v>
      </c>
      <c r="L86" s="8">
        <v>2</v>
      </c>
      <c r="M86" s="8">
        <v>10</v>
      </c>
      <c r="N86" s="8">
        <v>17.2</v>
      </c>
      <c r="O86" s="8">
        <v>1</v>
      </c>
      <c r="P86" s="1" t="s">
        <v>8</v>
      </c>
      <c r="Q86" s="3">
        <v>45665</v>
      </c>
      <c r="R86" s="3">
        <v>45666</v>
      </c>
      <c r="S86" s="3">
        <v>45656</v>
      </c>
      <c r="T86" s="3">
        <v>45657</v>
      </c>
      <c r="U86" s="1">
        <f t="shared" si="34"/>
        <v>9</v>
      </c>
      <c r="V86" s="3">
        <v>45683</v>
      </c>
      <c r="W86" s="1">
        <f>_xlfn.DAYS(V86,R86)</f>
        <v>17</v>
      </c>
      <c r="X86" s="3">
        <v>45689</v>
      </c>
      <c r="Y86" s="1">
        <f>_xlfn.DAYS(X86,R86)</f>
        <v>23</v>
      </c>
      <c r="Z86" s="1">
        <f>_xlfn.DAYS(BK86,X86)</f>
        <v>7</v>
      </c>
      <c r="AB86" s="3">
        <v>45702</v>
      </c>
      <c r="AD86" s="11" t="s">
        <v>86</v>
      </c>
      <c r="AE86" s="11">
        <v>45697</v>
      </c>
      <c r="AF86" s="1">
        <f t="shared" si="35"/>
        <v>31</v>
      </c>
      <c r="AG86" s="8">
        <v>0</v>
      </c>
      <c r="AH86" s="5">
        <v>1.2669999999999999</v>
      </c>
      <c r="AI86" s="1">
        <v>2</v>
      </c>
      <c r="AJ86" s="3">
        <v>45670</v>
      </c>
      <c r="AK86" s="5">
        <f>AL86-AH86</f>
        <v>6.9350000000000005</v>
      </c>
      <c r="AL86" s="5">
        <v>8.202</v>
      </c>
      <c r="AM86" s="1">
        <v>2</v>
      </c>
      <c r="AN86" s="3">
        <f>V86+1</f>
        <v>45684</v>
      </c>
      <c r="AO86" s="1">
        <v>6.9059999999999997</v>
      </c>
      <c r="AP86" s="8">
        <v>2</v>
      </c>
      <c r="AQ86" s="3">
        <f>X86+1</f>
        <v>45690</v>
      </c>
      <c r="AR86" s="5">
        <f>AO86-AH86</f>
        <v>5.6389999999999993</v>
      </c>
      <c r="AS86" s="1">
        <v>12</v>
      </c>
      <c r="AT86" s="1">
        <v>51</v>
      </c>
      <c r="AU86" s="1">
        <v>112</v>
      </c>
      <c r="AV86" s="1">
        <f t="shared" si="36"/>
        <v>175</v>
      </c>
      <c r="AW86" s="1">
        <v>155</v>
      </c>
      <c r="AX86" s="1">
        <v>145</v>
      </c>
      <c r="AY86" s="1">
        <v>355</v>
      </c>
      <c r="AZ86" s="1">
        <f t="shared" si="40"/>
        <v>655</v>
      </c>
      <c r="BA86" s="1">
        <v>27</v>
      </c>
      <c r="BB86" s="1">
        <v>0</v>
      </c>
      <c r="BC86" s="1">
        <v>0</v>
      </c>
      <c r="BD86" s="1" t="s">
        <v>12</v>
      </c>
      <c r="BE86" s="1" t="s">
        <v>12</v>
      </c>
      <c r="BF86" s="1" t="s">
        <v>12</v>
      </c>
      <c r="BG86" s="1" t="s">
        <v>12</v>
      </c>
      <c r="BH86" s="1" t="s">
        <v>12</v>
      </c>
      <c r="BI86" s="1">
        <f>BA86+BB86+BC86</f>
        <v>27</v>
      </c>
      <c r="BJ86" s="1">
        <f t="shared" si="41"/>
        <v>857</v>
      </c>
      <c r="BK86" s="3">
        <v>45696</v>
      </c>
      <c r="BL86" s="6"/>
      <c r="BM86" s="6" t="s">
        <v>88</v>
      </c>
      <c r="BN86" s="6" t="s">
        <v>208</v>
      </c>
      <c r="BO86" s="13">
        <v>55.05</v>
      </c>
      <c r="BP86" s="13">
        <v>4.55</v>
      </c>
      <c r="BQ86" s="1">
        <v>4</v>
      </c>
      <c r="BR86" s="1">
        <v>0</v>
      </c>
      <c r="BS86" s="1">
        <f>BQ86+BR86</f>
        <v>4</v>
      </c>
      <c r="BT86" s="1">
        <v>7</v>
      </c>
      <c r="BU86" s="1">
        <v>0</v>
      </c>
      <c r="BV86" s="1">
        <f>BT86+BU86</f>
        <v>7</v>
      </c>
      <c r="BW86" s="1">
        <v>7</v>
      </c>
      <c r="BX86" s="1">
        <v>0</v>
      </c>
      <c r="BY86" s="1">
        <f>BW86+BX86</f>
        <v>7</v>
      </c>
      <c r="BZ86" s="1">
        <v>6</v>
      </c>
      <c r="CA86" s="1">
        <v>0</v>
      </c>
      <c r="CB86" s="1">
        <f>BZ86+CA86</f>
        <v>6</v>
      </c>
      <c r="CC86" s="1">
        <f>BS86+BV86+BY86+CB86</f>
        <v>24</v>
      </c>
      <c r="CE86" s="7">
        <f>CC86+CD86</f>
        <v>24</v>
      </c>
      <c r="CF86" s="8">
        <v>2</v>
      </c>
      <c r="CG86" s="8">
        <v>6</v>
      </c>
      <c r="CH86" s="8">
        <v>5</v>
      </c>
      <c r="CI86" s="8">
        <v>5</v>
      </c>
      <c r="CJ86" s="8">
        <v>1</v>
      </c>
      <c r="CK86" s="8">
        <v>0</v>
      </c>
      <c r="CL86" s="8">
        <v>0</v>
      </c>
      <c r="CM86" s="8">
        <v>0</v>
      </c>
      <c r="CN86" s="1">
        <f>CF86+CG86+CH86+CI86+CJ86+CK86+CL86+CM86</f>
        <v>19</v>
      </c>
      <c r="CO86" s="1">
        <f>CN86/CE86</f>
        <v>0.79166666666666663</v>
      </c>
      <c r="CP86" s="8">
        <v>5.2309999999999999</v>
      </c>
      <c r="CQ86" s="8">
        <v>5</v>
      </c>
      <c r="CR86" s="1">
        <f>CP86/CQ86</f>
        <v>1.0462</v>
      </c>
      <c r="CS86" s="1">
        <v>3.1139999999999999</v>
      </c>
      <c r="CT86" s="8">
        <v>3</v>
      </c>
      <c r="CU86" s="1">
        <f>CS86/CT86</f>
        <v>1.038</v>
      </c>
    </row>
    <row r="87" spans="1:99" x14ac:dyDescent="0.25">
      <c r="A87" s="1">
        <v>87</v>
      </c>
      <c r="B87" s="1">
        <v>85</v>
      </c>
      <c r="C87" s="2" t="s">
        <v>113</v>
      </c>
      <c r="D87" s="1" t="s">
        <v>280</v>
      </c>
      <c r="E87" s="1" t="s">
        <v>12</v>
      </c>
      <c r="F87" s="1" t="str">
        <f t="shared" si="32"/>
        <v>M</v>
      </c>
      <c r="G87" s="1" t="str">
        <f t="shared" si="33"/>
        <v>D</v>
      </c>
      <c r="H87" s="1">
        <v>1</v>
      </c>
      <c r="I87" s="1">
        <v>1</v>
      </c>
      <c r="J87" s="8" t="s">
        <v>276</v>
      </c>
      <c r="K87" s="8">
        <v>4</v>
      </c>
      <c r="L87" s="8">
        <v>2</v>
      </c>
      <c r="M87" s="8">
        <v>10</v>
      </c>
      <c r="N87" s="8">
        <v>16.2</v>
      </c>
      <c r="O87" s="8"/>
      <c r="P87" s="1" t="s">
        <v>8</v>
      </c>
      <c r="Q87" s="3">
        <v>45665</v>
      </c>
      <c r="R87" s="3">
        <v>45666</v>
      </c>
      <c r="S87" s="3">
        <v>45656</v>
      </c>
      <c r="T87" s="3">
        <v>45657</v>
      </c>
      <c r="U87" s="1">
        <f t="shared" si="34"/>
        <v>9</v>
      </c>
      <c r="V87" s="1" t="s">
        <v>12</v>
      </c>
      <c r="W87" s="1" t="s">
        <v>12</v>
      </c>
      <c r="X87" s="1" t="s">
        <v>12</v>
      </c>
      <c r="Y87" s="1" t="s">
        <v>12</v>
      </c>
      <c r="AA87" s="3">
        <v>45676</v>
      </c>
      <c r="AE87" s="11">
        <f>AA87</f>
        <v>45676</v>
      </c>
      <c r="AF87" s="1">
        <f t="shared" si="35"/>
        <v>10</v>
      </c>
      <c r="AG87" s="1">
        <v>1</v>
      </c>
      <c r="AH87" s="5">
        <v>0.82799999999999996</v>
      </c>
      <c r="AI87" s="1">
        <v>2</v>
      </c>
      <c r="AJ87" s="3">
        <v>45670</v>
      </c>
      <c r="AK87" s="5" t="s">
        <v>12</v>
      </c>
      <c r="AL87" s="5" t="s">
        <v>12</v>
      </c>
      <c r="AN87" s="3" t="s">
        <v>12</v>
      </c>
      <c r="AO87" s="1" t="s">
        <v>12</v>
      </c>
      <c r="AP87" s="5" t="s">
        <v>12</v>
      </c>
      <c r="AQ87" s="3" t="s">
        <v>12</v>
      </c>
      <c r="AR87" s="1" t="s">
        <v>12</v>
      </c>
      <c r="AS87" s="1">
        <v>12</v>
      </c>
      <c r="AT87" s="1">
        <v>27</v>
      </c>
      <c r="AU87" s="1">
        <v>81</v>
      </c>
      <c r="AV87" s="1">
        <f t="shared" si="36"/>
        <v>120</v>
      </c>
      <c r="AW87" s="1">
        <v>4</v>
      </c>
      <c r="AX87" s="1">
        <v>19</v>
      </c>
      <c r="AY87" s="1" t="s">
        <v>12</v>
      </c>
      <c r="AZ87" s="1">
        <f>AW87+AX87</f>
        <v>23</v>
      </c>
      <c r="BA87" s="1" t="s">
        <v>12</v>
      </c>
      <c r="BB87" s="1" t="s">
        <v>12</v>
      </c>
      <c r="BC87" s="1" t="s">
        <v>12</v>
      </c>
      <c r="BD87" s="1" t="s">
        <v>12</v>
      </c>
      <c r="BE87" s="1" t="s">
        <v>12</v>
      </c>
      <c r="BF87" s="1" t="s">
        <v>12</v>
      </c>
      <c r="BG87" s="1" t="s">
        <v>12</v>
      </c>
      <c r="BH87" s="1" t="s">
        <v>12</v>
      </c>
      <c r="BI87" s="1" t="s">
        <v>12</v>
      </c>
      <c r="BJ87" s="1" t="s">
        <v>12</v>
      </c>
      <c r="BK87" s="3" t="s">
        <v>12</v>
      </c>
      <c r="BL87" s="10" t="s">
        <v>12</v>
      </c>
      <c r="BM87" s="10" t="s">
        <v>12</v>
      </c>
      <c r="BN87" s="14" t="s">
        <v>12</v>
      </c>
      <c r="BO87" s="13" t="s">
        <v>12</v>
      </c>
      <c r="BP87" s="13" t="s">
        <v>12</v>
      </c>
      <c r="BQ87" s="13" t="s">
        <v>12</v>
      </c>
      <c r="BR87" s="13" t="s">
        <v>12</v>
      </c>
      <c r="BS87" s="13" t="s">
        <v>12</v>
      </c>
      <c r="BT87" s="13" t="s">
        <v>12</v>
      </c>
      <c r="BU87" s="13" t="s">
        <v>12</v>
      </c>
      <c r="BV87" s="13" t="s">
        <v>12</v>
      </c>
      <c r="BW87" s="13" t="s">
        <v>12</v>
      </c>
      <c r="BX87" s="13" t="s">
        <v>12</v>
      </c>
      <c r="BY87" s="13" t="s">
        <v>12</v>
      </c>
      <c r="BZ87" s="13" t="s">
        <v>12</v>
      </c>
      <c r="CA87" s="13" t="s">
        <v>12</v>
      </c>
      <c r="CB87" s="13" t="s">
        <v>12</v>
      </c>
      <c r="CC87" s="13" t="s">
        <v>12</v>
      </c>
      <c r="CD87" s="13"/>
      <c r="CE87" s="13" t="s">
        <v>12</v>
      </c>
      <c r="CF87" s="13" t="s">
        <v>12</v>
      </c>
      <c r="CG87" s="13" t="s">
        <v>12</v>
      </c>
      <c r="CH87" s="13" t="s">
        <v>12</v>
      </c>
      <c r="CI87" s="13" t="s">
        <v>12</v>
      </c>
      <c r="CJ87" s="13" t="s">
        <v>12</v>
      </c>
      <c r="CK87" s="13" t="s">
        <v>12</v>
      </c>
      <c r="CL87" s="13" t="s">
        <v>12</v>
      </c>
      <c r="CM87" s="13" t="s">
        <v>12</v>
      </c>
      <c r="CN87" s="13" t="s">
        <v>12</v>
      </c>
      <c r="CO87" s="13" t="s">
        <v>12</v>
      </c>
    </row>
    <row r="88" spans="1:99" x14ac:dyDescent="0.25">
      <c r="A88" s="1">
        <v>88</v>
      </c>
      <c r="B88" s="1">
        <v>86</v>
      </c>
      <c r="C88" s="2" t="s">
        <v>114</v>
      </c>
      <c r="D88" s="3" t="s">
        <v>10</v>
      </c>
      <c r="E88" s="1" t="str">
        <f>D88</f>
        <v>m</v>
      </c>
      <c r="F88" s="1" t="str">
        <f t="shared" si="32"/>
        <v>A</v>
      </c>
      <c r="G88" s="1" t="str">
        <f t="shared" si="33"/>
        <v>B</v>
      </c>
      <c r="H88" s="1">
        <v>1</v>
      </c>
      <c r="I88" s="1">
        <v>0</v>
      </c>
      <c r="J88" s="8" t="s">
        <v>278</v>
      </c>
      <c r="K88" s="8">
        <v>4</v>
      </c>
      <c r="L88" s="8">
        <v>2</v>
      </c>
      <c r="M88" s="8">
        <v>10</v>
      </c>
      <c r="N88" s="8">
        <v>15.2</v>
      </c>
      <c r="O88" s="8">
        <v>1</v>
      </c>
      <c r="P88" s="1" t="s">
        <v>8</v>
      </c>
      <c r="Q88" s="3">
        <v>45665</v>
      </c>
      <c r="R88" s="3">
        <v>45666</v>
      </c>
      <c r="S88" s="3">
        <v>45656</v>
      </c>
      <c r="T88" s="3">
        <v>45657</v>
      </c>
      <c r="U88" s="1">
        <f t="shared" si="34"/>
        <v>9</v>
      </c>
      <c r="V88" s="3">
        <v>45683</v>
      </c>
      <c r="W88" s="1">
        <f>_xlfn.DAYS(V88,R88)</f>
        <v>17</v>
      </c>
      <c r="X88" s="3">
        <v>45688</v>
      </c>
      <c r="Y88" s="1">
        <f>_xlfn.DAYS(X88,R88)</f>
        <v>22</v>
      </c>
      <c r="AB88" s="3">
        <v>45697</v>
      </c>
      <c r="AD88" s="11" t="s">
        <v>86</v>
      </c>
      <c r="AE88" s="11">
        <v>45697</v>
      </c>
      <c r="AF88" s="1">
        <f t="shared" si="35"/>
        <v>31</v>
      </c>
      <c r="AG88" s="8">
        <v>0</v>
      </c>
      <c r="AH88" s="5">
        <v>0.81899999999999995</v>
      </c>
      <c r="AI88" s="1">
        <v>2</v>
      </c>
      <c r="AJ88" s="3">
        <v>45670</v>
      </c>
      <c r="AK88" s="5">
        <f>AL88-AH88</f>
        <v>5.3730000000000002</v>
      </c>
      <c r="AL88" s="5">
        <v>6.1920000000000002</v>
      </c>
      <c r="AM88" s="1">
        <v>2</v>
      </c>
      <c r="AN88" s="3">
        <f>V88+1</f>
        <v>45684</v>
      </c>
      <c r="AO88" s="1">
        <v>5.6059999999999999</v>
      </c>
      <c r="AP88" s="8">
        <v>2</v>
      </c>
      <c r="AQ88" s="3">
        <f>X88+1</f>
        <v>45689</v>
      </c>
      <c r="AR88" s="5">
        <f>AO88-AH88</f>
        <v>4.7869999999999999</v>
      </c>
      <c r="AS88" s="1">
        <v>14</v>
      </c>
      <c r="AT88" s="1">
        <v>31</v>
      </c>
      <c r="AU88" s="1">
        <v>110</v>
      </c>
      <c r="AV88" s="1">
        <f t="shared" si="36"/>
        <v>155</v>
      </c>
      <c r="AW88" s="1">
        <v>67</v>
      </c>
      <c r="AX88" s="1">
        <v>270</v>
      </c>
      <c r="AY88" s="1">
        <v>247</v>
      </c>
      <c r="AZ88" s="1">
        <f>SUM(AW88+AX88+AY88)</f>
        <v>584</v>
      </c>
      <c r="BA88" s="1">
        <v>28</v>
      </c>
      <c r="BB88" s="1">
        <v>0</v>
      </c>
      <c r="BC88" s="1">
        <v>1</v>
      </c>
      <c r="BD88" s="1" t="s">
        <v>12</v>
      </c>
      <c r="BE88" s="1" t="s">
        <v>12</v>
      </c>
      <c r="BF88" s="1" t="s">
        <v>12</v>
      </c>
      <c r="BG88" s="1" t="s">
        <v>12</v>
      </c>
      <c r="BH88" s="1" t="s">
        <v>12</v>
      </c>
      <c r="BI88" s="1">
        <f>BA88+BB88+BC88</f>
        <v>29</v>
      </c>
      <c r="BJ88" s="1">
        <f>AV88+AZ88+BI88</f>
        <v>768</v>
      </c>
      <c r="BK88" s="3" t="s">
        <v>12</v>
      </c>
      <c r="BL88" s="10" t="s">
        <v>12</v>
      </c>
      <c r="BM88" s="10" t="s">
        <v>12</v>
      </c>
      <c r="BN88" s="14" t="s">
        <v>12</v>
      </c>
      <c r="BO88" s="13" t="s">
        <v>12</v>
      </c>
      <c r="BP88" s="13" t="s">
        <v>12</v>
      </c>
      <c r="BQ88" s="13" t="s">
        <v>12</v>
      </c>
      <c r="BR88" s="13" t="s">
        <v>12</v>
      </c>
      <c r="BS88" s="13" t="s">
        <v>12</v>
      </c>
      <c r="BT88" s="13" t="s">
        <v>12</v>
      </c>
      <c r="BU88" s="13" t="s">
        <v>12</v>
      </c>
      <c r="BV88" s="13" t="s">
        <v>12</v>
      </c>
      <c r="BW88" s="13" t="s">
        <v>12</v>
      </c>
      <c r="BX88" s="13" t="s">
        <v>12</v>
      </c>
      <c r="BY88" s="13" t="s">
        <v>12</v>
      </c>
      <c r="BZ88" s="13" t="s">
        <v>12</v>
      </c>
      <c r="CA88" s="13" t="s">
        <v>12</v>
      </c>
      <c r="CB88" s="13" t="s">
        <v>12</v>
      </c>
      <c r="CC88" s="13" t="s">
        <v>12</v>
      </c>
      <c r="CD88" s="13"/>
      <c r="CE88" s="13" t="s">
        <v>12</v>
      </c>
      <c r="CF88" s="13" t="s">
        <v>12</v>
      </c>
      <c r="CG88" s="13" t="s">
        <v>12</v>
      </c>
      <c r="CH88" s="13" t="s">
        <v>12</v>
      </c>
      <c r="CI88" s="13" t="s">
        <v>12</v>
      </c>
      <c r="CJ88" s="13" t="s">
        <v>12</v>
      </c>
      <c r="CK88" s="13" t="s">
        <v>12</v>
      </c>
      <c r="CL88" s="13" t="s">
        <v>12</v>
      </c>
      <c r="CM88" s="13" t="s">
        <v>12</v>
      </c>
      <c r="CN88" s="13" t="s">
        <v>12</v>
      </c>
      <c r="CO88" s="13" t="s">
        <v>12</v>
      </c>
    </row>
    <row r="89" spans="1:99" x14ac:dyDescent="0.25">
      <c r="A89" s="1">
        <v>89</v>
      </c>
      <c r="B89" s="1">
        <v>87</v>
      </c>
      <c r="C89" s="2" t="s">
        <v>54</v>
      </c>
      <c r="D89" s="3" t="s">
        <v>10</v>
      </c>
      <c r="E89" s="1" t="str">
        <f>D89</f>
        <v>m</v>
      </c>
      <c r="F89" s="1" t="str">
        <f t="shared" si="32"/>
        <v>C</v>
      </c>
      <c r="G89" s="1" t="str">
        <f t="shared" si="33"/>
        <v>A</v>
      </c>
      <c r="H89" s="1">
        <v>0</v>
      </c>
      <c r="I89" s="1">
        <v>0</v>
      </c>
      <c r="J89" s="8" t="s">
        <v>278</v>
      </c>
      <c r="K89" s="8">
        <v>4</v>
      </c>
      <c r="L89" s="8">
        <v>2</v>
      </c>
      <c r="M89" s="8">
        <v>10</v>
      </c>
      <c r="N89" s="8">
        <v>14.2</v>
      </c>
      <c r="O89" s="8">
        <v>1</v>
      </c>
      <c r="P89" s="1" t="s">
        <v>8</v>
      </c>
      <c r="Q89" s="3">
        <v>45665</v>
      </c>
      <c r="R89" s="3">
        <v>45666</v>
      </c>
      <c r="S89" s="3">
        <v>45656</v>
      </c>
      <c r="T89" s="3">
        <v>45657</v>
      </c>
      <c r="U89" s="1">
        <f t="shared" si="34"/>
        <v>9</v>
      </c>
      <c r="V89" s="3">
        <v>45683</v>
      </c>
      <c r="W89" s="1">
        <f>_xlfn.DAYS(V89,R89)</f>
        <v>17</v>
      </c>
      <c r="X89" s="3">
        <v>45689</v>
      </c>
      <c r="Y89" s="1">
        <f>_xlfn.DAYS(X89,R89)</f>
        <v>23</v>
      </c>
      <c r="Z89" s="1">
        <f>_xlfn.DAYS(BK89,X89)</f>
        <v>7</v>
      </c>
      <c r="AB89" s="3">
        <v>45698</v>
      </c>
      <c r="AD89" s="11" t="s">
        <v>86</v>
      </c>
      <c r="AE89" s="11">
        <v>45697</v>
      </c>
      <c r="AF89" s="1">
        <f t="shared" si="35"/>
        <v>31</v>
      </c>
      <c r="AG89" s="8">
        <v>0</v>
      </c>
      <c r="AH89" s="5">
        <v>0.45100000000000001</v>
      </c>
      <c r="AI89" s="1">
        <v>2</v>
      </c>
      <c r="AJ89" s="3">
        <v>45670</v>
      </c>
      <c r="AK89" s="5">
        <f>AL89-AH89</f>
        <v>7.1190000000000007</v>
      </c>
      <c r="AL89" s="5">
        <v>7.57</v>
      </c>
      <c r="AM89" s="1">
        <v>2</v>
      </c>
      <c r="AN89" s="3">
        <f>V89+1</f>
        <v>45684</v>
      </c>
      <c r="AO89" s="1">
        <v>6.6580000000000004</v>
      </c>
      <c r="AP89" s="8">
        <v>2</v>
      </c>
      <c r="AQ89" s="3">
        <f>X89+1</f>
        <v>45690</v>
      </c>
      <c r="AR89" s="5">
        <f>AO89-AH89</f>
        <v>6.2070000000000007</v>
      </c>
      <c r="AS89" s="1">
        <v>11</v>
      </c>
      <c r="AT89" s="1">
        <v>17</v>
      </c>
      <c r="AU89" s="1">
        <v>43</v>
      </c>
      <c r="AV89" s="1">
        <f t="shared" si="36"/>
        <v>71</v>
      </c>
      <c r="AW89" s="1">
        <v>35</v>
      </c>
      <c r="AX89" s="1">
        <v>64</v>
      </c>
      <c r="AY89" s="1">
        <v>278</v>
      </c>
      <c r="AZ89" s="1">
        <f>SUM(AW89+AX89+AY89)</f>
        <v>377</v>
      </c>
      <c r="BA89" s="1">
        <v>185</v>
      </c>
      <c r="BB89" s="1">
        <v>0</v>
      </c>
      <c r="BC89" s="1">
        <v>0</v>
      </c>
      <c r="BD89" s="1" t="s">
        <v>12</v>
      </c>
      <c r="BE89" s="1" t="s">
        <v>12</v>
      </c>
      <c r="BF89" s="1" t="s">
        <v>12</v>
      </c>
      <c r="BG89" s="1" t="s">
        <v>12</v>
      </c>
      <c r="BH89" s="1" t="s">
        <v>12</v>
      </c>
      <c r="BI89" s="1">
        <f>BA89+BB89+BC89</f>
        <v>185</v>
      </c>
      <c r="BJ89" s="1">
        <f>AV89+AZ89+BI89</f>
        <v>633</v>
      </c>
      <c r="BK89" s="3">
        <v>45696</v>
      </c>
      <c r="BL89" s="6" t="s">
        <v>53</v>
      </c>
      <c r="BM89" s="6"/>
      <c r="BN89" s="6" t="s">
        <v>200</v>
      </c>
      <c r="BO89" s="13">
        <v>56.03</v>
      </c>
      <c r="BP89" s="13">
        <v>3.57</v>
      </c>
      <c r="BQ89" s="1">
        <v>9</v>
      </c>
      <c r="BR89" s="1">
        <v>1</v>
      </c>
      <c r="BS89" s="1">
        <f>BQ89+BR89</f>
        <v>10</v>
      </c>
      <c r="BT89" s="1">
        <v>13</v>
      </c>
      <c r="BU89" s="1">
        <v>1</v>
      </c>
      <c r="BV89" s="1">
        <f>BT89+BU89</f>
        <v>14</v>
      </c>
      <c r="BW89" s="1">
        <v>6</v>
      </c>
      <c r="BX89" s="1">
        <v>0</v>
      </c>
      <c r="BY89" s="1">
        <f>BW89+BX89</f>
        <v>6</v>
      </c>
      <c r="BZ89" s="1">
        <v>9</v>
      </c>
      <c r="CA89" s="1">
        <v>0</v>
      </c>
      <c r="CB89" s="1">
        <f>BZ89+CA89</f>
        <v>9</v>
      </c>
      <c r="CC89" s="1">
        <f>BS89+BV89+BY89+CB89</f>
        <v>39</v>
      </c>
      <c r="CE89" s="7">
        <f>CC89+CD89</f>
        <v>39</v>
      </c>
      <c r="CF89" s="8">
        <v>6</v>
      </c>
      <c r="CG89" s="8">
        <v>7</v>
      </c>
      <c r="CH89" s="8">
        <v>10</v>
      </c>
      <c r="CI89" s="8">
        <v>10</v>
      </c>
      <c r="CJ89" s="8">
        <v>1</v>
      </c>
      <c r="CK89" s="8">
        <v>0</v>
      </c>
      <c r="CL89" s="8">
        <v>0</v>
      </c>
      <c r="CM89" s="8">
        <v>0</v>
      </c>
      <c r="CN89" s="1">
        <f>CF89+CG89+CH89+CI89+CJ89+CK89+CL89+CM89</f>
        <v>34</v>
      </c>
      <c r="CO89" s="1">
        <f>CN89/CE89</f>
        <v>0.87179487179487181</v>
      </c>
      <c r="CP89" s="8">
        <v>3.94</v>
      </c>
      <c r="CQ89" s="8">
        <v>5</v>
      </c>
      <c r="CR89" s="1">
        <f>CP89/CQ89</f>
        <v>0.78800000000000003</v>
      </c>
      <c r="CS89" s="1">
        <v>3.6669999999999998</v>
      </c>
      <c r="CT89" s="8">
        <v>5</v>
      </c>
      <c r="CU89" s="1">
        <f>CS89/CT89</f>
        <v>0.73339999999999994</v>
      </c>
    </row>
    <row r="90" spans="1:99" x14ac:dyDescent="0.25">
      <c r="A90" s="1">
        <v>90</v>
      </c>
      <c r="B90" s="1">
        <v>88</v>
      </c>
      <c r="C90" s="2" t="s">
        <v>115</v>
      </c>
      <c r="D90" s="1" t="s">
        <v>280</v>
      </c>
      <c r="E90" s="1" t="s">
        <v>12</v>
      </c>
      <c r="F90" s="1" t="str">
        <f t="shared" si="32"/>
        <v>M</v>
      </c>
      <c r="G90" s="1" t="str">
        <f t="shared" si="33"/>
        <v>D</v>
      </c>
      <c r="H90" s="1">
        <v>1</v>
      </c>
      <c r="I90" s="1">
        <v>1</v>
      </c>
      <c r="J90" s="8" t="s">
        <v>276</v>
      </c>
      <c r="K90" s="8">
        <v>4</v>
      </c>
      <c r="L90" s="8">
        <v>2</v>
      </c>
      <c r="M90" s="8">
        <v>11</v>
      </c>
      <c r="N90" s="1">
        <v>14.2</v>
      </c>
      <c r="P90" s="1" t="s">
        <v>8</v>
      </c>
      <c r="Q90" s="3">
        <v>45665</v>
      </c>
      <c r="R90" s="3">
        <v>45666</v>
      </c>
      <c r="S90" s="3">
        <v>45656</v>
      </c>
      <c r="T90" s="3">
        <v>45657</v>
      </c>
      <c r="U90" s="1">
        <f t="shared" si="34"/>
        <v>9</v>
      </c>
      <c r="V90" s="1" t="s">
        <v>12</v>
      </c>
      <c r="W90" s="1" t="s">
        <v>12</v>
      </c>
      <c r="X90" s="1" t="s">
        <v>12</v>
      </c>
      <c r="Y90" s="1" t="s">
        <v>12</v>
      </c>
      <c r="AA90" s="3">
        <v>45675</v>
      </c>
      <c r="AC90" s="4" t="s">
        <v>86</v>
      </c>
      <c r="AE90" s="11">
        <f>AA90</f>
        <v>45675</v>
      </c>
      <c r="AF90" s="1">
        <f t="shared" si="35"/>
        <v>9</v>
      </c>
      <c r="AG90" s="1">
        <v>0</v>
      </c>
      <c r="AH90" s="5">
        <v>0.48899999999999999</v>
      </c>
      <c r="AI90" s="1">
        <v>2</v>
      </c>
      <c r="AJ90" s="3">
        <v>45670</v>
      </c>
      <c r="AK90" s="5" t="s">
        <v>12</v>
      </c>
      <c r="AL90" s="5" t="s">
        <v>12</v>
      </c>
      <c r="AM90" s="1" t="s">
        <v>12</v>
      </c>
      <c r="AN90" s="3" t="s">
        <v>12</v>
      </c>
      <c r="AO90" s="1" t="s">
        <v>12</v>
      </c>
      <c r="AP90" s="5" t="s">
        <v>12</v>
      </c>
      <c r="AQ90" s="3" t="s">
        <v>12</v>
      </c>
      <c r="AR90" s="1" t="s">
        <v>12</v>
      </c>
      <c r="AS90" s="1">
        <v>9</v>
      </c>
      <c r="AT90" s="1">
        <v>12</v>
      </c>
      <c r="AU90" s="1">
        <v>26</v>
      </c>
      <c r="AV90" s="1">
        <f t="shared" si="36"/>
        <v>47</v>
      </c>
      <c r="AW90" s="1">
        <v>15</v>
      </c>
      <c r="AX90" s="1">
        <v>0</v>
      </c>
      <c r="AY90" s="1" t="s">
        <v>12</v>
      </c>
      <c r="AZ90" s="1">
        <f>AW90+AX90</f>
        <v>15</v>
      </c>
      <c r="BA90" s="1" t="s">
        <v>12</v>
      </c>
      <c r="BB90" s="1" t="s">
        <v>12</v>
      </c>
      <c r="BC90" s="1" t="s">
        <v>12</v>
      </c>
      <c r="BD90" s="1" t="s">
        <v>12</v>
      </c>
      <c r="BE90" s="1" t="s">
        <v>12</v>
      </c>
      <c r="BF90" s="1" t="s">
        <v>12</v>
      </c>
      <c r="BG90" s="1" t="s">
        <v>12</v>
      </c>
      <c r="BH90" s="1" t="s">
        <v>12</v>
      </c>
      <c r="BI90" s="1" t="s">
        <v>12</v>
      </c>
      <c r="BJ90" s="1" t="s">
        <v>12</v>
      </c>
      <c r="BK90" s="3" t="s">
        <v>12</v>
      </c>
      <c r="BL90" s="10" t="s">
        <v>12</v>
      </c>
      <c r="BM90" s="10" t="s">
        <v>12</v>
      </c>
      <c r="BN90" s="14" t="s">
        <v>12</v>
      </c>
      <c r="BO90" s="13" t="s">
        <v>12</v>
      </c>
      <c r="BP90" s="13" t="s">
        <v>12</v>
      </c>
      <c r="BQ90" s="13" t="s">
        <v>12</v>
      </c>
      <c r="BR90" s="13" t="s">
        <v>12</v>
      </c>
      <c r="BS90" s="13" t="s">
        <v>12</v>
      </c>
      <c r="BT90" s="13" t="s">
        <v>12</v>
      </c>
      <c r="BU90" s="13" t="s">
        <v>12</v>
      </c>
      <c r="BV90" s="13" t="s">
        <v>12</v>
      </c>
      <c r="BW90" s="13" t="s">
        <v>12</v>
      </c>
      <c r="BX90" s="13" t="s">
        <v>12</v>
      </c>
      <c r="BY90" s="13" t="s">
        <v>12</v>
      </c>
      <c r="BZ90" s="13" t="s">
        <v>12</v>
      </c>
      <c r="CA90" s="13" t="s">
        <v>12</v>
      </c>
      <c r="CB90" s="13" t="s">
        <v>12</v>
      </c>
      <c r="CC90" s="13" t="s">
        <v>12</v>
      </c>
      <c r="CD90" s="13"/>
      <c r="CE90" s="13" t="s">
        <v>12</v>
      </c>
      <c r="CF90" s="13" t="s">
        <v>12</v>
      </c>
      <c r="CG90" s="13" t="s">
        <v>12</v>
      </c>
      <c r="CH90" s="13" t="s">
        <v>12</v>
      </c>
      <c r="CI90" s="13" t="s">
        <v>12</v>
      </c>
      <c r="CJ90" s="13" t="s">
        <v>12</v>
      </c>
      <c r="CK90" s="13" t="s">
        <v>12</v>
      </c>
      <c r="CL90" s="13" t="s">
        <v>12</v>
      </c>
      <c r="CM90" s="13" t="s">
        <v>12</v>
      </c>
      <c r="CN90" s="13" t="s">
        <v>12</v>
      </c>
      <c r="CO90" s="13" t="s">
        <v>12</v>
      </c>
    </row>
    <row r="91" spans="1:99" x14ac:dyDescent="0.25">
      <c r="A91" s="1">
        <v>91</v>
      </c>
      <c r="B91" s="1">
        <v>89</v>
      </c>
      <c r="C91" s="2" t="s">
        <v>100</v>
      </c>
      <c r="D91" s="3" t="s">
        <v>27</v>
      </c>
      <c r="E91" s="1" t="str">
        <f>D91</f>
        <v>f</v>
      </c>
      <c r="F91" s="1" t="str">
        <f t="shared" si="32"/>
        <v>I</v>
      </c>
      <c r="G91" s="1" t="str">
        <f t="shared" si="33"/>
        <v>C</v>
      </c>
      <c r="H91" s="1">
        <v>0</v>
      </c>
      <c r="I91" s="1">
        <v>1</v>
      </c>
      <c r="J91" s="8" t="s">
        <v>278</v>
      </c>
      <c r="K91" s="8">
        <v>4</v>
      </c>
      <c r="L91" s="8">
        <v>2</v>
      </c>
      <c r="M91" s="8">
        <v>11</v>
      </c>
      <c r="N91" s="8">
        <v>15.2</v>
      </c>
      <c r="O91" s="8">
        <v>1</v>
      </c>
      <c r="P91" s="1" t="s">
        <v>8</v>
      </c>
      <c r="Q91" s="3">
        <v>45665</v>
      </c>
      <c r="R91" s="3">
        <v>45666</v>
      </c>
      <c r="S91" s="3">
        <v>45656</v>
      </c>
      <c r="T91" s="3">
        <v>45657</v>
      </c>
      <c r="U91" s="1">
        <f t="shared" si="34"/>
        <v>9</v>
      </c>
      <c r="V91" s="3">
        <v>45684</v>
      </c>
      <c r="W91" s="1">
        <f>_xlfn.DAYS(V91,R91)</f>
        <v>18</v>
      </c>
      <c r="X91" s="3">
        <v>45690</v>
      </c>
      <c r="Y91" s="1">
        <f>_xlfn.DAYS(X91,R91)</f>
        <v>24</v>
      </c>
      <c r="Z91" s="1">
        <f>_xlfn.DAYS(BK91,X91)</f>
        <v>7</v>
      </c>
      <c r="AB91" s="3">
        <v>45703</v>
      </c>
      <c r="AD91" s="11" t="s">
        <v>86</v>
      </c>
      <c r="AE91" s="11">
        <v>45697</v>
      </c>
      <c r="AF91" s="1">
        <f t="shared" si="35"/>
        <v>31</v>
      </c>
      <c r="AG91" s="8">
        <v>0</v>
      </c>
      <c r="AH91" s="5">
        <v>1.111</v>
      </c>
      <c r="AI91" s="1">
        <v>2</v>
      </c>
      <c r="AJ91" s="3">
        <v>45670</v>
      </c>
      <c r="AK91" s="5">
        <f>AL91-AH91</f>
        <v>6.9020000000000001</v>
      </c>
      <c r="AL91" s="5">
        <v>8.0129999999999999</v>
      </c>
      <c r="AM91" s="1">
        <v>1</v>
      </c>
      <c r="AN91" s="3">
        <f>V91+1</f>
        <v>45685</v>
      </c>
      <c r="AO91" s="1">
        <v>6.9969999999999999</v>
      </c>
      <c r="AP91" s="8">
        <v>2</v>
      </c>
      <c r="AQ91" s="3">
        <f>X91+1</f>
        <v>45691</v>
      </c>
      <c r="AR91" s="5">
        <f>AO91-AH91</f>
        <v>5.8860000000000001</v>
      </c>
      <c r="AS91" s="1">
        <v>11</v>
      </c>
      <c r="AT91" s="1">
        <v>27</v>
      </c>
      <c r="AU91" s="1">
        <v>111</v>
      </c>
      <c r="AV91" s="1">
        <f t="shared" si="36"/>
        <v>149</v>
      </c>
      <c r="AW91" s="1">
        <v>70</v>
      </c>
      <c r="AX91" s="1">
        <v>162</v>
      </c>
      <c r="AY91" s="1">
        <v>199</v>
      </c>
      <c r="AZ91" s="1">
        <f t="shared" ref="AZ91:AZ102" si="55">SUM(AW91+AX91+AY91)</f>
        <v>431</v>
      </c>
      <c r="BA91" s="1">
        <v>100</v>
      </c>
      <c r="BB91" s="1">
        <v>3</v>
      </c>
      <c r="BC91" s="1">
        <v>0</v>
      </c>
      <c r="BD91" s="1" t="s">
        <v>12</v>
      </c>
      <c r="BE91" s="1" t="s">
        <v>12</v>
      </c>
      <c r="BF91" s="1" t="s">
        <v>12</v>
      </c>
      <c r="BG91" s="1" t="s">
        <v>12</v>
      </c>
      <c r="BH91" s="1" t="s">
        <v>12</v>
      </c>
      <c r="BI91" s="1">
        <f>BA91+BB91+BC91</f>
        <v>103</v>
      </c>
      <c r="BJ91" s="1">
        <f t="shared" ref="BJ91:BJ102" si="56">AV91+AZ91+BI91</f>
        <v>683</v>
      </c>
      <c r="BK91" s="3">
        <v>45697</v>
      </c>
      <c r="BL91" s="6"/>
      <c r="BM91" s="6" t="s">
        <v>99</v>
      </c>
      <c r="BN91" s="6" t="s">
        <v>214</v>
      </c>
      <c r="BO91" s="13">
        <v>54.32</v>
      </c>
      <c r="BP91" s="13">
        <v>5.28</v>
      </c>
      <c r="BQ91" s="1">
        <v>5</v>
      </c>
      <c r="BR91" s="1">
        <v>0</v>
      </c>
      <c r="BS91" s="1">
        <f>BQ91+BR91</f>
        <v>5</v>
      </c>
      <c r="BT91" s="1">
        <v>9</v>
      </c>
      <c r="BU91" s="1">
        <v>0</v>
      </c>
      <c r="BV91" s="1">
        <f>BT91+BU91</f>
        <v>9</v>
      </c>
      <c r="BW91" s="1">
        <v>8</v>
      </c>
      <c r="BX91" s="1">
        <v>0</v>
      </c>
      <c r="BY91" s="1">
        <f>BW91+BX91</f>
        <v>8</v>
      </c>
      <c r="BZ91" s="1">
        <v>10</v>
      </c>
      <c r="CA91" s="1">
        <v>0</v>
      </c>
      <c r="CB91" s="1">
        <f>BZ91+CA91</f>
        <v>10</v>
      </c>
      <c r="CC91" s="1">
        <f>BS91+BV91+BY91+CB91</f>
        <v>32</v>
      </c>
      <c r="CE91" s="7">
        <f>CC91+CD91</f>
        <v>32</v>
      </c>
      <c r="CF91" s="8">
        <v>0</v>
      </c>
      <c r="CG91" s="8">
        <v>5</v>
      </c>
      <c r="CH91" s="8">
        <v>9</v>
      </c>
      <c r="CI91" s="8">
        <v>11</v>
      </c>
      <c r="CJ91" s="8">
        <v>6</v>
      </c>
      <c r="CK91" s="8">
        <v>0</v>
      </c>
      <c r="CL91" s="8">
        <v>0</v>
      </c>
      <c r="CM91" s="8">
        <v>0</v>
      </c>
      <c r="CN91" s="1">
        <f>CF91+CG91+CH91+CI91+CJ91+CK91+CL91+CM91</f>
        <v>31</v>
      </c>
      <c r="CO91" s="1">
        <f>CN91/CE91</f>
        <v>0.96875</v>
      </c>
      <c r="CP91" s="8">
        <v>2.5099999999999998</v>
      </c>
      <c r="CQ91" s="8">
        <v>5</v>
      </c>
      <c r="CR91" s="1">
        <f>CP91/CQ91</f>
        <v>0.502</v>
      </c>
      <c r="CS91" s="1">
        <v>2.2549999999999999</v>
      </c>
      <c r="CT91" s="8">
        <v>4</v>
      </c>
      <c r="CU91" s="1">
        <f>CS91/CT91</f>
        <v>0.56374999999999997</v>
      </c>
    </row>
    <row r="92" spans="1:99" x14ac:dyDescent="0.25">
      <c r="A92" s="1">
        <v>92</v>
      </c>
      <c r="B92" s="1">
        <v>90</v>
      </c>
      <c r="C92" s="2" t="s">
        <v>116</v>
      </c>
      <c r="D92" s="1" t="s">
        <v>280</v>
      </c>
      <c r="E92" s="1" t="s">
        <v>12</v>
      </c>
      <c r="F92" s="1" t="str">
        <f t="shared" si="32"/>
        <v>A</v>
      </c>
      <c r="G92" s="1" t="str">
        <f t="shared" si="33"/>
        <v>B</v>
      </c>
      <c r="H92" s="1">
        <v>1</v>
      </c>
      <c r="I92" s="1">
        <v>0</v>
      </c>
      <c r="J92" s="8" t="s">
        <v>278</v>
      </c>
      <c r="K92" s="8">
        <v>4</v>
      </c>
      <c r="L92" s="8">
        <v>2</v>
      </c>
      <c r="M92" s="8">
        <v>11</v>
      </c>
      <c r="N92" s="8">
        <v>16.2</v>
      </c>
      <c r="O92" s="8"/>
      <c r="P92" s="1" t="s">
        <v>8</v>
      </c>
      <c r="Q92" s="3">
        <v>45665</v>
      </c>
      <c r="R92" s="3">
        <v>45666</v>
      </c>
      <c r="S92" s="3">
        <v>45656</v>
      </c>
      <c r="T92" s="3">
        <v>45657</v>
      </c>
      <c r="U92" s="1">
        <f t="shared" si="34"/>
        <v>9</v>
      </c>
      <c r="V92" s="1" t="s">
        <v>12</v>
      </c>
      <c r="W92" s="1" t="s">
        <v>12</v>
      </c>
      <c r="X92" s="1" t="s">
        <v>12</v>
      </c>
      <c r="Y92" s="1" t="s">
        <v>12</v>
      </c>
      <c r="AA92" s="3">
        <v>45702</v>
      </c>
      <c r="AD92" s="11"/>
      <c r="AE92" s="11">
        <f>AA92</f>
        <v>45702</v>
      </c>
      <c r="AF92" s="1">
        <v>31</v>
      </c>
      <c r="AG92" s="1">
        <v>0</v>
      </c>
      <c r="AH92" s="5">
        <v>0.435</v>
      </c>
      <c r="AI92" s="1">
        <v>2</v>
      </c>
      <c r="AJ92" s="3">
        <v>45670</v>
      </c>
      <c r="AK92" s="5" t="s">
        <v>12</v>
      </c>
      <c r="AL92" s="5" t="s">
        <v>12</v>
      </c>
      <c r="AM92" s="1" t="s">
        <v>12</v>
      </c>
      <c r="AN92" s="3" t="s">
        <v>12</v>
      </c>
      <c r="AO92" s="1" t="s">
        <v>12</v>
      </c>
      <c r="AP92" s="5" t="s">
        <v>12</v>
      </c>
      <c r="AQ92" s="3" t="s">
        <v>12</v>
      </c>
      <c r="AR92" s="1" t="s">
        <v>12</v>
      </c>
      <c r="AS92" s="1">
        <v>15</v>
      </c>
      <c r="AT92" s="1">
        <v>15</v>
      </c>
      <c r="AU92" s="1">
        <v>14</v>
      </c>
      <c r="AV92" s="1">
        <f t="shared" si="36"/>
        <v>44</v>
      </c>
      <c r="AW92" s="1">
        <v>14</v>
      </c>
      <c r="AX92" s="1">
        <v>22</v>
      </c>
      <c r="AY92" s="1">
        <v>28</v>
      </c>
      <c r="AZ92" s="1">
        <f t="shared" si="55"/>
        <v>64</v>
      </c>
      <c r="BA92" s="1">
        <v>27</v>
      </c>
      <c r="BB92" s="1">
        <v>16</v>
      </c>
      <c r="BC92" s="1">
        <v>25</v>
      </c>
      <c r="BD92" s="1">
        <v>39</v>
      </c>
      <c r="BE92" s="1">
        <v>33</v>
      </c>
      <c r="BF92" s="1">
        <v>29</v>
      </c>
      <c r="BG92" s="1">
        <v>9</v>
      </c>
      <c r="BH92" s="1">
        <v>9</v>
      </c>
      <c r="BI92" s="1">
        <f>BA92+BB92+BC92+BD92+BE92+BF92+BG92+BH92</f>
        <v>187</v>
      </c>
      <c r="BJ92" s="1">
        <f t="shared" si="56"/>
        <v>295</v>
      </c>
      <c r="BK92" s="3" t="s">
        <v>12</v>
      </c>
      <c r="BL92" s="10" t="s">
        <v>12</v>
      </c>
      <c r="BM92" s="10" t="s">
        <v>12</v>
      </c>
      <c r="BN92" s="14" t="s">
        <v>12</v>
      </c>
      <c r="BO92" s="13" t="s">
        <v>12</v>
      </c>
      <c r="BP92" s="13" t="s">
        <v>12</v>
      </c>
      <c r="BQ92" s="13" t="s">
        <v>12</v>
      </c>
      <c r="BR92" s="13" t="s">
        <v>12</v>
      </c>
      <c r="BS92" s="13" t="s">
        <v>12</v>
      </c>
      <c r="BT92" s="13" t="s">
        <v>12</v>
      </c>
      <c r="BU92" s="13" t="s">
        <v>12</v>
      </c>
      <c r="BV92" s="13" t="s">
        <v>12</v>
      </c>
      <c r="BW92" s="13" t="s">
        <v>12</v>
      </c>
      <c r="BX92" s="13" t="s">
        <v>12</v>
      </c>
      <c r="BY92" s="13" t="s">
        <v>12</v>
      </c>
      <c r="BZ92" s="13" t="s">
        <v>12</v>
      </c>
      <c r="CA92" s="13" t="s">
        <v>12</v>
      </c>
      <c r="CB92" s="13" t="s">
        <v>12</v>
      </c>
      <c r="CC92" s="13" t="s">
        <v>12</v>
      </c>
      <c r="CD92" s="13"/>
      <c r="CE92" s="13" t="s">
        <v>12</v>
      </c>
      <c r="CF92" s="13" t="s">
        <v>12</v>
      </c>
      <c r="CG92" s="13" t="s">
        <v>12</v>
      </c>
      <c r="CH92" s="13" t="s">
        <v>12</v>
      </c>
      <c r="CI92" s="13" t="s">
        <v>12</v>
      </c>
      <c r="CJ92" s="13" t="s">
        <v>12</v>
      </c>
      <c r="CK92" s="13" t="s">
        <v>12</v>
      </c>
      <c r="CL92" s="13" t="s">
        <v>12</v>
      </c>
      <c r="CM92" s="13" t="s">
        <v>12</v>
      </c>
      <c r="CN92" s="13" t="s">
        <v>12</v>
      </c>
      <c r="CO92" s="13" t="s">
        <v>12</v>
      </c>
    </row>
    <row r="93" spans="1:99" x14ac:dyDescent="0.25">
      <c r="A93" s="1">
        <v>93</v>
      </c>
      <c r="B93" s="1">
        <v>91</v>
      </c>
      <c r="C93" s="2" t="s">
        <v>117</v>
      </c>
      <c r="D93" s="1" t="s">
        <v>280</v>
      </c>
      <c r="E93" s="1" t="s">
        <v>12</v>
      </c>
      <c r="F93" s="1" t="str">
        <f t="shared" si="32"/>
        <v>C</v>
      </c>
      <c r="G93" s="1" t="str">
        <f t="shared" si="33"/>
        <v>A</v>
      </c>
      <c r="H93" s="1">
        <v>0</v>
      </c>
      <c r="I93" s="1">
        <v>0</v>
      </c>
      <c r="J93" s="8" t="s">
        <v>278</v>
      </c>
      <c r="K93" s="8">
        <v>4</v>
      </c>
      <c r="L93" s="8">
        <v>2</v>
      </c>
      <c r="M93" s="8">
        <v>11</v>
      </c>
      <c r="N93" s="8">
        <v>17.2</v>
      </c>
      <c r="O93" s="8"/>
      <c r="P93" s="1" t="s">
        <v>8</v>
      </c>
      <c r="Q93" s="3">
        <v>45665</v>
      </c>
      <c r="R93" s="3">
        <v>45666</v>
      </c>
      <c r="S93" s="3">
        <v>45656</v>
      </c>
      <c r="T93" s="3">
        <v>45657</v>
      </c>
      <c r="U93" s="1">
        <f t="shared" si="34"/>
        <v>9</v>
      </c>
      <c r="V93" s="1" t="s">
        <v>12</v>
      </c>
      <c r="W93" s="1" t="s">
        <v>12</v>
      </c>
      <c r="X93" s="1" t="s">
        <v>12</v>
      </c>
      <c r="Y93" s="1" t="s">
        <v>12</v>
      </c>
      <c r="AA93" s="3">
        <v>45689</v>
      </c>
      <c r="AD93" s="11"/>
      <c r="AE93" s="11">
        <f>AA93</f>
        <v>45689</v>
      </c>
      <c r="AF93" s="1">
        <f t="shared" ref="AF93:AF124" si="57">_xlfn.DAYS(AE93,R93)</f>
        <v>23</v>
      </c>
      <c r="AG93" s="1">
        <v>1</v>
      </c>
      <c r="AH93" s="5">
        <v>0.59299999999999997</v>
      </c>
      <c r="AI93" s="1">
        <v>2</v>
      </c>
      <c r="AJ93" s="3">
        <v>45670</v>
      </c>
      <c r="AK93" s="5" t="s">
        <v>12</v>
      </c>
      <c r="AL93" s="5" t="s">
        <v>12</v>
      </c>
      <c r="AM93" s="1" t="s">
        <v>12</v>
      </c>
      <c r="AN93" s="3" t="s">
        <v>12</v>
      </c>
      <c r="AO93" s="1" t="s">
        <v>12</v>
      </c>
      <c r="AP93" s="5" t="s">
        <v>12</v>
      </c>
      <c r="AQ93" s="3" t="s">
        <v>12</v>
      </c>
      <c r="AR93" s="1" t="s">
        <v>12</v>
      </c>
      <c r="AS93" s="1">
        <v>12</v>
      </c>
      <c r="AT93" s="1">
        <v>19</v>
      </c>
      <c r="AU93" s="1">
        <v>25</v>
      </c>
      <c r="AV93" s="1">
        <f t="shared" si="36"/>
        <v>56</v>
      </c>
      <c r="AW93" s="1">
        <v>45</v>
      </c>
      <c r="AX93" s="1">
        <v>54</v>
      </c>
      <c r="AY93" s="1">
        <v>159</v>
      </c>
      <c r="AZ93" s="1">
        <f t="shared" si="55"/>
        <v>258</v>
      </c>
      <c r="BA93" s="1">
        <v>235</v>
      </c>
      <c r="BB93" s="1">
        <v>6</v>
      </c>
      <c r="BC93" s="1">
        <v>0</v>
      </c>
      <c r="BD93" s="1">
        <v>0</v>
      </c>
      <c r="BE93" s="1">
        <v>0</v>
      </c>
      <c r="BF93" s="1" t="s">
        <v>12</v>
      </c>
      <c r="BG93" s="1" t="s">
        <v>12</v>
      </c>
      <c r="BH93" s="1" t="s">
        <v>12</v>
      </c>
      <c r="BI93" s="1">
        <f>BA93+BB93+BC93+BD93</f>
        <v>241</v>
      </c>
      <c r="BJ93" s="1">
        <f t="shared" si="56"/>
        <v>555</v>
      </c>
      <c r="BK93" s="3" t="s">
        <v>12</v>
      </c>
      <c r="BL93" s="10" t="s">
        <v>12</v>
      </c>
      <c r="BM93" s="10" t="s">
        <v>12</v>
      </c>
      <c r="BN93" s="14" t="s">
        <v>12</v>
      </c>
      <c r="BO93" s="13" t="s">
        <v>12</v>
      </c>
      <c r="BP93" s="13" t="s">
        <v>12</v>
      </c>
      <c r="BQ93" s="13" t="s">
        <v>12</v>
      </c>
      <c r="BR93" s="13" t="s">
        <v>12</v>
      </c>
      <c r="BS93" s="13" t="s">
        <v>12</v>
      </c>
      <c r="BT93" s="13" t="s">
        <v>12</v>
      </c>
      <c r="BU93" s="13" t="s">
        <v>12</v>
      </c>
      <c r="BV93" s="13" t="s">
        <v>12</v>
      </c>
      <c r="BW93" s="13" t="s">
        <v>12</v>
      </c>
      <c r="BX93" s="13" t="s">
        <v>12</v>
      </c>
      <c r="BY93" s="13" t="s">
        <v>12</v>
      </c>
      <c r="BZ93" s="13" t="s">
        <v>12</v>
      </c>
      <c r="CA93" s="13" t="s">
        <v>12</v>
      </c>
      <c r="CB93" s="13" t="s">
        <v>12</v>
      </c>
      <c r="CC93" s="13" t="s">
        <v>12</v>
      </c>
      <c r="CD93" s="13"/>
      <c r="CE93" s="13" t="s">
        <v>12</v>
      </c>
      <c r="CF93" s="13" t="s">
        <v>12</v>
      </c>
      <c r="CG93" s="13" t="s">
        <v>12</v>
      </c>
      <c r="CH93" s="13" t="s">
        <v>12</v>
      </c>
      <c r="CI93" s="13" t="s">
        <v>12</v>
      </c>
      <c r="CJ93" s="13" t="s">
        <v>12</v>
      </c>
      <c r="CK93" s="13" t="s">
        <v>12</v>
      </c>
      <c r="CL93" s="13" t="s">
        <v>12</v>
      </c>
      <c r="CM93" s="13" t="s">
        <v>12</v>
      </c>
      <c r="CN93" s="13" t="s">
        <v>12</v>
      </c>
      <c r="CO93" s="13" t="s">
        <v>12</v>
      </c>
    </row>
    <row r="94" spans="1:99" x14ac:dyDescent="0.25">
      <c r="A94" s="1">
        <v>94</v>
      </c>
      <c r="B94" s="1">
        <v>92</v>
      </c>
      <c r="C94" s="2" t="s">
        <v>118</v>
      </c>
      <c r="D94" s="3" t="s">
        <v>10</v>
      </c>
      <c r="E94" s="1" t="str">
        <f t="shared" ref="E94:E99" si="58">D94</f>
        <v>m</v>
      </c>
      <c r="F94" s="1" t="str">
        <f t="shared" si="32"/>
        <v>C</v>
      </c>
      <c r="G94" s="1" t="str">
        <f t="shared" si="33"/>
        <v>A</v>
      </c>
      <c r="H94" s="1">
        <v>0</v>
      </c>
      <c r="I94" s="1">
        <v>0</v>
      </c>
      <c r="J94" s="8" t="s">
        <v>278</v>
      </c>
      <c r="K94" s="8">
        <v>4</v>
      </c>
      <c r="L94" s="8">
        <v>2</v>
      </c>
      <c r="M94" s="8">
        <v>12</v>
      </c>
      <c r="N94" s="8">
        <v>17.2</v>
      </c>
      <c r="O94" s="8">
        <v>1</v>
      </c>
      <c r="P94" s="1" t="s">
        <v>8</v>
      </c>
      <c r="Q94" s="3">
        <v>45665</v>
      </c>
      <c r="R94" s="3">
        <v>45666</v>
      </c>
      <c r="S94" s="3">
        <v>45656</v>
      </c>
      <c r="T94" s="3">
        <v>45657</v>
      </c>
      <c r="U94" s="1">
        <f t="shared" si="34"/>
        <v>9</v>
      </c>
      <c r="V94" s="3">
        <v>45687</v>
      </c>
      <c r="W94" s="1">
        <f t="shared" ref="W94:W102" si="59">_xlfn.DAYS(V94,R94)</f>
        <v>21</v>
      </c>
      <c r="X94" s="3">
        <v>45692</v>
      </c>
      <c r="Y94" s="1">
        <f t="shared" ref="Y94:Y99" si="60">_xlfn.DAYS(X94,R94)</f>
        <v>26</v>
      </c>
      <c r="Z94" s="1">
        <f>_xlfn.DAYS(BK94,X94)</f>
        <v>7</v>
      </c>
      <c r="AB94" s="3">
        <v>45701</v>
      </c>
      <c r="AD94" s="11" t="s">
        <v>86</v>
      </c>
      <c r="AE94" s="11">
        <v>45697</v>
      </c>
      <c r="AF94" s="1">
        <f t="shared" si="57"/>
        <v>31</v>
      </c>
      <c r="AG94" s="8">
        <v>0</v>
      </c>
      <c r="AH94" s="5">
        <v>0.51200000000000001</v>
      </c>
      <c r="AI94" s="1">
        <v>2</v>
      </c>
      <c r="AJ94" s="3">
        <v>45670</v>
      </c>
      <c r="AK94" s="5">
        <f t="shared" ref="AK94:AK102" si="61">AL94-AH94</f>
        <v>5.923</v>
      </c>
      <c r="AL94" s="5">
        <v>6.4349999999999996</v>
      </c>
      <c r="AM94" s="1">
        <v>2</v>
      </c>
      <c r="AN94" s="3">
        <f t="shared" ref="AN94:AN102" si="62">V94+1</f>
        <v>45688</v>
      </c>
      <c r="AO94" s="1">
        <v>6.0419999999999998</v>
      </c>
      <c r="AP94" s="8">
        <v>2</v>
      </c>
      <c r="AQ94" s="3">
        <f t="shared" ref="AQ94:AQ99" si="63">X94+1</f>
        <v>45693</v>
      </c>
      <c r="AR94" s="5">
        <f t="shared" ref="AR94:AR99" si="64">AO94-AH94</f>
        <v>5.5299999999999994</v>
      </c>
      <c r="AS94" s="1">
        <v>7</v>
      </c>
      <c r="AT94" s="1">
        <v>17</v>
      </c>
      <c r="AU94" s="1">
        <v>39</v>
      </c>
      <c r="AV94" s="1">
        <f t="shared" si="36"/>
        <v>63</v>
      </c>
      <c r="AW94" s="1">
        <v>17</v>
      </c>
      <c r="AX94" s="1">
        <v>23</v>
      </c>
      <c r="AY94" s="1">
        <v>111</v>
      </c>
      <c r="AZ94" s="1">
        <f t="shared" si="55"/>
        <v>151</v>
      </c>
      <c r="BA94" s="1">
        <v>212</v>
      </c>
      <c r="BB94" s="1">
        <v>181</v>
      </c>
      <c r="BC94" s="1">
        <v>7</v>
      </c>
      <c r="BD94" s="1">
        <v>0</v>
      </c>
      <c r="BE94" s="1" t="s">
        <v>12</v>
      </c>
      <c r="BF94" s="1" t="s">
        <v>12</v>
      </c>
      <c r="BG94" s="1" t="s">
        <v>12</v>
      </c>
      <c r="BH94" s="1" t="s">
        <v>12</v>
      </c>
      <c r="BI94" s="1">
        <f>BA94+BB94+BC94+BD94</f>
        <v>400</v>
      </c>
      <c r="BJ94" s="1">
        <f t="shared" si="56"/>
        <v>614</v>
      </c>
      <c r="BK94" s="3">
        <v>45699</v>
      </c>
      <c r="BL94" s="6" t="s">
        <v>119</v>
      </c>
      <c r="BM94" s="6"/>
      <c r="BN94" s="6" t="s">
        <v>221</v>
      </c>
      <c r="BO94" s="13">
        <v>0</v>
      </c>
      <c r="BP94" s="13">
        <v>60</v>
      </c>
      <c r="BQ94" s="1">
        <v>9</v>
      </c>
      <c r="BR94" s="1">
        <v>0</v>
      </c>
      <c r="BS94" s="1">
        <f>BQ94+BR94</f>
        <v>9</v>
      </c>
      <c r="BT94" s="1">
        <v>11</v>
      </c>
      <c r="BU94" s="1">
        <v>0</v>
      </c>
      <c r="BV94" s="1">
        <f>BT94+BU94</f>
        <v>11</v>
      </c>
      <c r="BW94" s="1">
        <v>14</v>
      </c>
      <c r="BX94" s="1">
        <v>0</v>
      </c>
      <c r="BY94" s="1">
        <f>BW94+BX94</f>
        <v>14</v>
      </c>
      <c r="BZ94" s="1">
        <v>15</v>
      </c>
      <c r="CA94" s="1">
        <v>0</v>
      </c>
      <c r="CB94" s="1">
        <f>BZ94+CA94</f>
        <v>15</v>
      </c>
      <c r="CC94" s="1">
        <f>BS94+BV94+BY94+CB94</f>
        <v>49</v>
      </c>
      <c r="CE94" s="7">
        <f>CC94+CD94</f>
        <v>49</v>
      </c>
      <c r="CF94" s="8">
        <v>6</v>
      </c>
      <c r="CG94" s="8">
        <v>15</v>
      </c>
      <c r="CH94" s="8">
        <v>10</v>
      </c>
      <c r="CI94" s="8">
        <v>12</v>
      </c>
      <c r="CJ94" s="8">
        <v>4</v>
      </c>
      <c r="CK94" s="8">
        <v>0</v>
      </c>
      <c r="CL94" s="8">
        <v>0</v>
      </c>
      <c r="CM94" s="8">
        <v>0</v>
      </c>
      <c r="CN94" s="1">
        <f>CF94+CG94+CH94+CI94+CJ94+CK94+CL94+CM94</f>
        <v>47</v>
      </c>
      <c r="CO94" s="1">
        <f>CN94/CE94</f>
        <v>0.95918367346938771</v>
      </c>
      <c r="CP94" s="8">
        <v>5.1390000000000002</v>
      </c>
      <c r="CQ94" s="8">
        <v>5</v>
      </c>
      <c r="CR94" s="1">
        <f>CP94/CQ94</f>
        <v>1.0278</v>
      </c>
      <c r="CS94" s="1" t="s">
        <v>12</v>
      </c>
      <c r="CT94" s="8" t="s">
        <v>12</v>
      </c>
      <c r="CU94" s="1" t="s">
        <v>12</v>
      </c>
    </row>
    <row r="95" spans="1:99" x14ac:dyDescent="0.25">
      <c r="A95" s="1">
        <v>95</v>
      </c>
      <c r="B95" s="1">
        <v>93</v>
      </c>
      <c r="C95" s="2" t="s">
        <v>120</v>
      </c>
      <c r="D95" s="3" t="s">
        <v>27</v>
      </c>
      <c r="E95" s="1" t="str">
        <f t="shared" si="58"/>
        <v>f</v>
      </c>
      <c r="F95" s="1" t="str">
        <f t="shared" si="32"/>
        <v>M</v>
      </c>
      <c r="G95" s="1" t="str">
        <f t="shared" si="33"/>
        <v>D</v>
      </c>
      <c r="H95" s="1">
        <v>1</v>
      </c>
      <c r="I95" s="1">
        <v>1</v>
      </c>
      <c r="J95" s="8" t="s">
        <v>276</v>
      </c>
      <c r="K95" s="8">
        <v>4</v>
      </c>
      <c r="L95" s="8">
        <v>2</v>
      </c>
      <c r="M95" s="8">
        <v>12</v>
      </c>
      <c r="N95" s="8">
        <v>16.2</v>
      </c>
      <c r="O95" s="8">
        <v>1</v>
      </c>
      <c r="P95" s="1" t="s">
        <v>8</v>
      </c>
      <c r="Q95" s="3">
        <v>45665</v>
      </c>
      <c r="R95" s="3">
        <v>45666</v>
      </c>
      <c r="S95" s="3">
        <v>45656</v>
      </c>
      <c r="T95" s="3">
        <v>45657</v>
      </c>
      <c r="U95" s="1">
        <f t="shared" si="34"/>
        <v>9</v>
      </c>
      <c r="V95" s="3">
        <v>45686</v>
      </c>
      <c r="W95" s="1">
        <f t="shared" si="59"/>
        <v>20</v>
      </c>
      <c r="X95" s="3">
        <v>45692</v>
      </c>
      <c r="Y95" s="1">
        <f t="shared" si="60"/>
        <v>26</v>
      </c>
      <c r="Z95" s="1">
        <f>_xlfn.DAYS(BK95,X95)</f>
        <v>7</v>
      </c>
      <c r="AB95" s="3">
        <v>45705</v>
      </c>
      <c r="AD95" s="11" t="s">
        <v>86</v>
      </c>
      <c r="AE95" s="11">
        <v>45697</v>
      </c>
      <c r="AF95" s="1">
        <f t="shared" si="57"/>
        <v>31</v>
      </c>
      <c r="AG95" s="8">
        <v>0</v>
      </c>
      <c r="AH95" s="5">
        <v>0.72199999999999998</v>
      </c>
      <c r="AI95" s="1">
        <v>2</v>
      </c>
      <c r="AJ95" s="3">
        <v>45670</v>
      </c>
      <c r="AK95" s="5">
        <f t="shared" si="61"/>
        <v>6.6379999999999999</v>
      </c>
      <c r="AL95" s="5">
        <v>7.36</v>
      </c>
      <c r="AM95" s="1">
        <v>2</v>
      </c>
      <c r="AN95" s="3">
        <f t="shared" si="62"/>
        <v>45687</v>
      </c>
      <c r="AO95" s="1">
        <v>6.0519999999999996</v>
      </c>
      <c r="AP95" s="8">
        <v>2</v>
      </c>
      <c r="AQ95" s="3">
        <f t="shared" si="63"/>
        <v>45693</v>
      </c>
      <c r="AR95" s="5">
        <f t="shared" si="64"/>
        <v>5.33</v>
      </c>
      <c r="AS95" s="1">
        <v>13</v>
      </c>
      <c r="AT95" s="1">
        <v>15</v>
      </c>
      <c r="AU95" s="1">
        <v>64</v>
      </c>
      <c r="AV95" s="1">
        <f t="shared" si="36"/>
        <v>92</v>
      </c>
      <c r="AW95" s="1">
        <v>21</v>
      </c>
      <c r="AX95" s="1">
        <v>52</v>
      </c>
      <c r="AY95" s="1">
        <v>308</v>
      </c>
      <c r="AZ95" s="1">
        <f t="shared" si="55"/>
        <v>381</v>
      </c>
      <c r="BA95" s="1">
        <v>234</v>
      </c>
      <c r="BB95" s="1">
        <v>1</v>
      </c>
      <c r="BC95" s="1">
        <v>0</v>
      </c>
      <c r="BD95" s="1">
        <v>0</v>
      </c>
      <c r="BE95" s="1" t="s">
        <v>12</v>
      </c>
      <c r="BF95" s="1" t="s">
        <v>12</v>
      </c>
      <c r="BG95" s="1" t="s">
        <v>12</v>
      </c>
      <c r="BH95" s="1" t="s">
        <v>12</v>
      </c>
      <c r="BI95" s="1">
        <f>BA95+BB95+BC95+BD95</f>
        <v>235</v>
      </c>
      <c r="BJ95" s="1">
        <f t="shared" si="56"/>
        <v>708</v>
      </c>
      <c r="BK95" s="3">
        <v>45699</v>
      </c>
      <c r="BL95" s="3"/>
      <c r="BM95" s="6" t="s">
        <v>151</v>
      </c>
      <c r="BN95" s="6" t="s">
        <v>222</v>
      </c>
      <c r="BO95" s="13">
        <v>0</v>
      </c>
      <c r="BP95" s="13">
        <v>60</v>
      </c>
      <c r="BQ95" s="1">
        <v>2</v>
      </c>
      <c r="BR95" s="1">
        <v>0</v>
      </c>
      <c r="BS95" s="1">
        <f>BQ95+BR95</f>
        <v>2</v>
      </c>
      <c r="BT95" s="1">
        <v>9</v>
      </c>
      <c r="BU95" s="1">
        <v>0</v>
      </c>
      <c r="BV95" s="1">
        <f>BT95+BU95</f>
        <v>9</v>
      </c>
      <c r="BW95" s="1">
        <v>10</v>
      </c>
      <c r="BX95" s="1">
        <v>0</v>
      </c>
      <c r="BY95" s="1">
        <f>BW95+BX95</f>
        <v>10</v>
      </c>
      <c r="BZ95" s="1">
        <v>7</v>
      </c>
      <c r="CA95" s="1">
        <v>0</v>
      </c>
      <c r="CB95" s="1">
        <f>BZ95+CA95</f>
        <v>7</v>
      </c>
      <c r="CC95" s="1">
        <f>BS95+BV95+BY95+CB95</f>
        <v>28</v>
      </c>
      <c r="CE95" s="7">
        <f>CC95+CD95</f>
        <v>28</v>
      </c>
      <c r="CF95" s="8">
        <v>0</v>
      </c>
      <c r="CG95" s="8">
        <v>4</v>
      </c>
      <c r="CH95" s="8">
        <v>10</v>
      </c>
      <c r="CI95" s="8">
        <v>6</v>
      </c>
      <c r="CJ95" s="8">
        <v>0</v>
      </c>
      <c r="CK95" s="8">
        <v>0</v>
      </c>
      <c r="CL95" s="8">
        <v>0</v>
      </c>
      <c r="CM95" s="8">
        <v>0</v>
      </c>
      <c r="CN95" s="1">
        <f>CF95+CG95+CH95+CI95+CJ95+CK95+CL95+CM95</f>
        <v>20</v>
      </c>
      <c r="CO95" s="1">
        <f>CN95/CE95</f>
        <v>0.7142857142857143</v>
      </c>
      <c r="CP95" s="8">
        <v>4.0199999999999996</v>
      </c>
      <c r="CQ95" s="8">
        <v>5</v>
      </c>
      <c r="CR95" s="1">
        <f>CP95/CQ95</f>
        <v>0.80399999999999994</v>
      </c>
      <c r="CS95" s="1">
        <v>0.53100000000000003</v>
      </c>
      <c r="CT95" s="8">
        <v>1</v>
      </c>
      <c r="CU95" s="1">
        <f>CS95/CT95</f>
        <v>0.53100000000000003</v>
      </c>
    </row>
    <row r="96" spans="1:99" x14ac:dyDescent="0.25">
      <c r="A96" s="1">
        <v>96</v>
      </c>
      <c r="B96" s="1">
        <v>94</v>
      </c>
      <c r="C96" s="2" t="s">
        <v>121</v>
      </c>
      <c r="D96" s="3" t="s">
        <v>10</v>
      </c>
      <c r="E96" s="1" t="str">
        <f t="shared" si="58"/>
        <v>m</v>
      </c>
      <c r="F96" s="1" t="str">
        <f t="shared" si="32"/>
        <v>I</v>
      </c>
      <c r="G96" s="1" t="str">
        <f t="shared" si="33"/>
        <v>C</v>
      </c>
      <c r="H96" s="1">
        <v>0</v>
      </c>
      <c r="I96" s="1">
        <v>1</v>
      </c>
      <c r="J96" s="8" t="s">
        <v>278</v>
      </c>
      <c r="K96" s="8">
        <v>4</v>
      </c>
      <c r="L96" s="8">
        <v>2</v>
      </c>
      <c r="M96" s="8">
        <v>12</v>
      </c>
      <c r="N96" s="8">
        <v>15.2</v>
      </c>
      <c r="O96" s="8">
        <v>1</v>
      </c>
      <c r="P96" s="1" t="s">
        <v>8</v>
      </c>
      <c r="Q96" s="3">
        <v>45665</v>
      </c>
      <c r="R96" s="3">
        <v>45666</v>
      </c>
      <c r="S96" s="3">
        <v>45656</v>
      </c>
      <c r="T96" s="3">
        <v>45657</v>
      </c>
      <c r="U96" s="1">
        <f t="shared" si="34"/>
        <v>9</v>
      </c>
      <c r="V96" s="3">
        <v>45683</v>
      </c>
      <c r="W96" s="1">
        <f t="shared" si="59"/>
        <v>17</v>
      </c>
      <c r="X96" s="3">
        <v>45688</v>
      </c>
      <c r="Y96" s="1">
        <f t="shared" si="60"/>
        <v>22</v>
      </c>
      <c r="AB96" s="3">
        <v>45697</v>
      </c>
      <c r="AD96" s="11" t="s">
        <v>86</v>
      </c>
      <c r="AE96" s="11">
        <v>45697</v>
      </c>
      <c r="AF96" s="1">
        <f t="shared" si="57"/>
        <v>31</v>
      </c>
      <c r="AG96" s="8">
        <v>0</v>
      </c>
      <c r="AH96" s="5">
        <v>1.0049999999999999</v>
      </c>
      <c r="AI96" s="1">
        <v>2</v>
      </c>
      <c r="AJ96" s="3">
        <v>45670</v>
      </c>
      <c r="AK96" s="5">
        <f t="shared" si="61"/>
        <v>5.9379999999999997</v>
      </c>
      <c r="AL96" s="5">
        <v>6.9429999999999996</v>
      </c>
      <c r="AM96" s="1">
        <v>2</v>
      </c>
      <c r="AN96" s="3">
        <f t="shared" si="62"/>
        <v>45684</v>
      </c>
      <c r="AO96" s="1">
        <v>6.6269999999999998</v>
      </c>
      <c r="AP96" s="8">
        <v>2</v>
      </c>
      <c r="AQ96" s="3">
        <f t="shared" si="63"/>
        <v>45689</v>
      </c>
      <c r="AR96" s="5">
        <f t="shared" si="64"/>
        <v>5.6219999999999999</v>
      </c>
      <c r="AS96" s="1">
        <v>16</v>
      </c>
      <c r="AT96" s="1">
        <v>26</v>
      </c>
      <c r="AU96" s="1">
        <v>105</v>
      </c>
      <c r="AV96" s="1">
        <f t="shared" si="36"/>
        <v>147</v>
      </c>
      <c r="AW96" s="1">
        <v>39</v>
      </c>
      <c r="AX96" s="1">
        <v>129</v>
      </c>
      <c r="AY96" s="1">
        <v>361</v>
      </c>
      <c r="AZ96" s="1">
        <f t="shared" si="55"/>
        <v>529</v>
      </c>
      <c r="BA96" s="1">
        <v>2</v>
      </c>
      <c r="BB96" s="1">
        <v>0</v>
      </c>
      <c r="BC96" s="1">
        <v>0</v>
      </c>
      <c r="BD96" s="1" t="s">
        <v>12</v>
      </c>
      <c r="BE96" s="1" t="s">
        <v>12</v>
      </c>
      <c r="BF96" s="1" t="s">
        <v>12</v>
      </c>
      <c r="BG96" s="1" t="s">
        <v>12</v>
      </c>
      <c r="BH96" s="1" t="s">
        <v>12</v>
      </c>
      <c r="BI96" s="1">
        <f t="shared" ref="BI96:BI102" si="65">BA96+BB96+BC96</f>
        <v>2</v>
      </c>
      <c r="BJ96" s="1">
        <f t="shared" si="56"/>
        <v>678</v>
      </c>
      <c r="BK96" s="3" t="s">
        <v>12</v>
      </c>
      <c r="BL96" s="10" t="s">
        <v>12</v>
      </c>
      <c r="BM96" s="10" t="s">
        <v>12</v>
      </c>
      <c r="BN96" s="14" t="s">
        <v>12</v>
      </c>
      <c r="BO96" s="13" t="s">
        <v>12</v>
      </c>
      <c r="BP96" s="13" t="s">
        <v>12</v>
      </c>
      <c r="BQ96" s="13" t="s">
        <v>12</v>
      </c>
      <c r="BR96" s="13" t="s">
        <v>12</v>
      </c>
      <c r="BS96" s="13" t="s">
        <v>12</v>
      </c>
      <c r="BT96" s="13" t="s">
        <v>12</v>
      </c>
      <c r="BU96" s="13" t="s">
        <v>12</v>
      </c>
      <c r="BV96" s="13" t="s">
        <v>12</v>
      </c>
      <c r="BW96" s="13" t="s">
        <v>12</v>
      </c>
      <c r="BX96" s="13" t="s">
        <v>12</v>
      </c>
      <c r="BY96" s="13" t="s">
        <v>12</v>
      </c>
      <c r="BZ96" s="13" t="s">
        <v>12</v>
      </c>
      <c r="CA96" s="13" t="s">
        <v>12</v>
      </c>
      <c r="CB96" s="13" t="s">
        <v>12</v>
      </c>
      <c r="CC96" s="13" t="s">
        <v>12</v>
      </c>
      <c r="CD96" s="13"/>
      <c r="CE96" s="13" t="s">
        <v>12</v>
      </c>
      <c r="CF96" s="13" t="s">
        <v>12</v>
      </c>
      <c r="CG96" s="13" t="s">
        <v>12</v>
      </c>
      <c r="CH96" s="13" t="s">
        <v>12</v>
      </c>
      <c r="CI96" s="13" t="s">
        <v>12</v>
      </c>
      <c r="CJ96" s="13" t="s">
        <v>12</v>
      </c>
      <c r="CK96" s="13" t="s">
        <v>12</v>
      </c>
      <c r="CL96" s="13" t="s">
        <v>12</v>
      </c>
      <c r="CM96" s="13" t="s">
        <v>12</v>
      </c>
      <c r="CN96" s="13" t="s">
        <v>12</v>
      </c>
      <c r="CO96" s="13" t="s">
        <v>12</v>
      </c>
    </row>
    <row r="97" spans="1:99" x14ac:dyDescent="0.25">
      <c r="A97" s="1">
        <v>97</v>
      </c>
      <c r="B97" s="1">
        <v>95</v>
      </c>
      <c r="C97" s="2" t="s">
        <v>122</v>
      </c>
      <c r="D97" s="3" t="s">
        <v>10</v>
      </c>
      <c r="E97" s="1" t="str">
        <f t="shared" si="58"/>
        <v>m</v>
      </c>
      <c r="F97" s="1" t="str">
        <f t="shared" si="32"/>
        <v>A</v>
      </c>
      <c r="G97" s="1" t="str">
        <f t="shared" si="33"/>
        <v>B</v>
      </c>
      <c r="H97" s="1">
        <v>1</v>
      </c>
      <c r="I97" s="1">
        <v>0</v>
      </c>
      <c r="J97" s="8" t="s">
        <v>278</v>
      </c>
      <c r="K97" s="8">
        <v>4</v>
      </c>
      <c r="L97" s="8">
        <v>2</v>
      </c>
      <c r="M97" s="8">
        <v>12</v>
      </c>
      <c r="N97" s="8">
        <v>14.2</v>
      </c>
      <c r="O97" s="8">
        <v>1</v>
      </c>
      <c r="P97" s="1" t="s">
        <v>8</v>
      </c>
      <c r="Q97" s="3">
        <v>45665</v>
      </c>
      <c r="R97" s="3">
        <v>45666</v>
      </c>
      <c r="S97" s="3">
        <v>45656</v>
      </c>
      <c r="T97" s="3">
        <v>45657</v>
      </c>
      <c r="U97" s="1">
        <f t="shared" si="34"/>
        <v>9</v>
      </c>
      <c r="V97" s="3">
        <v>45684</v>
      </c>
      <c r="W97" s="1">
        <f t="shared" si="59"/>
        <v>18</v>
      </c>
      <c r="X97" s="3">
        <v>45689</v>
      </c>
      <c r="Y97" s="1">
        <f t="shared" si="60"/>
        <v>23</v>
      </c>
      <c r="Z97" s="1">
        <f>_xlfn.DAYS(BK97,X97)</f>
        <v>7</v>
      </c>
      <c r="AB97" s="3">
        <v>45698</v>
      </c>
      <c r="AD97" s="11" t="s">
        <v>86</v>
      </c>
      <c r="AE97" s="11">
        <v>45697</v>
      </c>
      <c r="AF97" s="1">
        <f t="shared" si="57"/>
        <v>31</v>
      </c>
      <c r="AG97" s="8">
        <v>0</v>
      </c>
      <c r="AH97" s="5">
        <v>0.88</v>
      </c>
      <c r="AI97" s="1">
        <v>2</v>
      </c>
      <c r="AJ97" s="3">
        <v>45670</v>
      </c>
      <c r="AK97" s="5">
        <f t="shared" si="61"/>
        <v>6.86</v>
      </c>
      <c r="AL97" s="5">
        <v>7.74</v>
      </c>
      <c r="AM97" s="1">
        <v>1</v>
      </c>
      <c r="AN97" s="3">
        <f t="shared" si="62"/>
        <v>45685</v>
      </c>
      <c r="AO97" s="1">
        <v>6.8209999999999997</v>
      </c>
      <c r="AP97" s="8">
        <v>2</v>
      </c>
      <c r="AQ97" s="3">
        <f t="shared" si="63"/>
        <v>45690</v>
      </c>
      <c r="AR97" s="5">
        <f t="shared" si="64"/>
        <v>5.9409999999999998</v>
      </c>
      <c r="AS97" s="1">
        <v>12</v>
      </c>
      <c r="AT97" s="1">
        <v>24</v>
      </c>
      <c r="AU97" s="1">
        <v>69</v>
      </c>
      <c r="AV97" s="1">
        <f t="shared" si="36"/>
        <v>105</v>
      </c>
      <c r="AW97" s="1">
        <v>71</v>
      </c>
      <c r="AX97" s="1">
        <v>244</v>
      </c>
      <c r="AY97" s="1">
        <v>273</v>
      </c>
      <c r="AZ97" s="1">
        <f t="shared" si="55"/>
        <v>588</v>
      </c>
      <c r="BA97" s="1">
        <v>72</v>
      </c>
      <c r="BB97" s="1">
        <v>3</v>
      </c>
      <c r="BC97" s="1">
        <v>0</v>
      </c>
      <c r="BD97" s="1" t="s">
        <v>12</v>
      </c>
      <c r="BE97" s="1" t="s">
        <v>12</v>
      </c>
      <c r="BF97" s="1" t="s">
        <v>12</v>
      </c>
      <c r="BG97" s="1" t="s">
        <v>12</v>
      </c>
      <c r="BH97" s="1" t="s">
        <v>12</v>
      </c>
      <c r="BI97" s="1">
        <f t="shared" si="65"/>
        <v>75</v>
      </c>
      <c r="BJ97" s="1">
        <f t="shared" si="56"/>
        <v>768</v>
      </c>
      <c r="BK97" s="3">
        <v>45696</v>
      </c>
      <c r="BL97" s="6" t="s">
        <v>123</v>
      </c>
      <c r="BM97" s="6"/>
      <c r="BN97" s="6" t="s">
        <v>210</v>
      </c>
      <c r="BO97" s="13">
        <v>40.18</v>
      </c>
      <c r="BP97" s="13">
        <v>19.420000000000002</v>
      </c>
      <c r="BQ97" s="1">
        <v>4</v>
      </c>
      <c r="BR97" s="1">
        <v>0</v>
      </c>
      <c r="BS97" s="1">
        <f>BQ97+BR97</f>
        <v>4</v>
      </c>
      <c r="BT97" s="1">
        <v>13</v>
      </c>
      <c r="BU97" s="1">
        <v>0</v>
      </c>
      <c r="BV97" s="1">
        <f>BT97+BU97</f>
        <v>13</v>
      </c>
      <c r="BW97" s="1">
        <v>6</v>
      </c>
      <c r="BX97" s="1">
        <v>0</v>
      </c>
      <c r="BY97" s="1">
        <f>BW97+BX97</f>
        <v>6</v>
      </c>
      <c r="BZ97" s="1">
        <v>15</v>
      </c>
      <c r="CA97" s="1">
        <v>0</v>
      </c>
      <c r="CB97" s="1">
        <f>BZ97+CA97</f>
        <v>15</v>
      </c>
      <c r="CC97" s="1">
        <f>BS97+BV97+BY97+CB97</f>
        <v>38</v>
      </c>
      <c r="CE97" s="7">
        <f>CC97+CD97</f>
        <v>38</v>
      </c>
      <c r="CF97" s="8">
        <v>0</v>
      </c>
      <c r="CG97" s="8">
        <v>9</v>
      </c>
      <c r="CH97" s="8">
        <v>8</v>
      </c>
      <c r="CI97" s="8">
        <v>8</v>
      </c>
      <c r="CJ97" s="8">
        <v>1</v>
      </c>
      <c r="CK97" s="8">
        <v>1</v>
      </c>
      <c r="CL97" s="8">
        <v>0</v>
      </c>
      <c r="CM97" s="8">
        <v>0</v>
      </c>
      <c r="CN97" s="1">
        <f>CF97+CG97+CH97+CI97+CJ97+CK97+CL97+CM97</f>
        <v>27</v>
      </c>
      <c r="CO97" s="1">
        <f>CN97/CE97</f>
        <v>0.71052631578947367</v>
      </c>
      <c r="CP97" s="8">
        <v>3.11</v>
      </c>
      <c r="CQ97" s="8">
        <v>5</v>
      </c>
      <c r="CR97" s="1">
        <f>CP97/CQ97</f>
        <v>0.622</v>
      </c>
      <c r="CS97" s="1">
        <v>3.0369999999999999</v>
      </c>
      <c r="CT97" s="8">
        <v>5</v>
      </c>
      <c r="CU97" s="1">
        <f>CS97/CT97</f>
        <v>0.60739999999999994</v>
      </c>
    </row>
    <row r="98" spans="1:99" x14ac:dyDescent="0.25">
      <c r="A98" s="1">
        <v>98</v>
      </c>
      <c r="B98" s="1">
        <v>96</v>
      </c>
      <c r="C98" s="2" t="s">
        <v>124</v>
      </c>
      <c r="D98" s="3" t="s">
        <v>10</v>
      </c>
      <c r="E98" s="1" t="str">
        <f t="shared" si="58"/>
        <v>m</v>
      </c>
      <c r="F98" s="1" t="str">
        <f t="shared" ref="F98:F129" si="66">MID(C98,1,1)</f>
        <v>M</v>
      </c>
      <c r="G98" s="1" t="str">
        <f t="shared" ref="G98:G129" si="67">IF(F98="C","A",IF(F98="A","B",IF(F98="I","C",IF(F98="M","D"))))</f>
        <v>D</v>
      </c>
      <c r="H98" s="1">
        <v>1</v>
      </c>
      <c r="I98" s="1">
        <v>1</v>
      </c>
      <c r="J98" s="8" t="s">
        <v>276</v>
      </c>
      <c r="K98" s="1">
        <v>5</v>
      </c>
      <c r="L98" s="1">
        <v>3</v>
      </c>
      <c r="M98" s="8">
        <v>15</v>
      </c>
      <c r="N98" s="1">
        <v>14.2</v>
      </c>
      <c r="O98" s="8">
        <v>1</v>
      </c>
      <c r="P98" s="1" t="s">
        <v>8</v>
      </c>
      <c r="Q98" s="3">
        <v>45665</v>
      </c>
      <c r="R98" s="3">
        <v>45666</v>
      </c>
      <c r="S98" s="3">
        <v>45656</v>
      </c>
      <c r="T98" s="3">
        <v>45657</v>
      </c>
      <c r="U98" s="1">
        <f t="shared" ref="U98:U129" si="68">_xlfn.DAYS(R98,T98)</f>
        <v>9</v>
      </c>
      <c r="V98" s="3">
        <v>45683</v>
      </c>
      <c r="W98" s="1">
        <f t="shared" si="59"/>
        <v>17</v>
      </c>
      <c r="X98" s="3">
        <v>45689</v>
      </c>
      <c r="Y98" s="1">
        <f t="shared" si="60"/>
        <v>23</v>
      </c>
      <c r="AB98" s="3">
        <v>45698</v>
      </c>
      <c r="AD98" s="11" t="s">
        <v>86</v>
      </c>
      <c r="AE98" s="11">
        <v>45697</v>
      </c>
      <c r="AF98" s="1">
        <f t="shared" si="57"/>
        <v>31</v>
      </c>
      <c r="AG98" s="1">
        <v>0</v>
      </c>
      <c r="AH98" s="5">
        <v>1.1259999999999999</v>
      </c>
      <c r="AI98" s="1">
        <v>1</v>
      </c>
      <c r="AJ98" s="3">
        <v>45670</v>
      </c>
      <c r="AK98" s="5">
        <f t="shared" si="61"/>
        <v>6.3889999999999993</v>
      </c>
      <c r="AL98" s="5">
        <v>7.5149999999999997</v>
      </c>
      <c r="AM98" s="1">
        <v>2</v>
      </c>
      <c r="AN98" s="3">
        <f t="shared" si="62"/>
        <v>45684</v>
      </c>
      <c r="AO98" s="1">
        <v>7.8730000000000002</v>
      </c>
      <c r="AP98" s="8">
        <v>2</v>
      </c>
      <c r="AQ98" s="3">
        <f t="shared" si="63"/>
        <v>45690</v>
      </c>
      <c r="AR98" s="5">
        <f t="shared" si="64"/>
        <v>6.7469999999999999</v>
      </c>
      <c r="AS98" s="1">
        <v>7</v>
      </c>
      <c r="AT98" s="1">
        <v>54</v>
      </c>
      <c r="AU98" s="1">
        <v>92</v>
      </c>
      <c r="AV98" s="1">
        <f t="shared" si="36"/>
        <v>153</v>
      </c>
      <c r="AW98" s="1">
        <v>91</v>
      </c>
      <c r="AX98" s="1">
        <v>339</v>
      </c>
      <c r="AY98" s="1">
        <v>264</v>
      </c>
      <c r="AZ98" s="1">
        <f t="shared" si="55"/>
        <v>694</v>
      </c>
      <c r="BA98" s="1">
        <v>35</v>
      </c>
      <c r="BB98" s="1">
        <v>0</v>
      </c>
      <c r="BC98" s="1">
        <v>0</v>
      </c>
      <c r="BD98" s="1" t="s">
        <v>12</v>
      </c>
      <c r="BE98" s="1" t="s">
        <v>12</v>
      </c>
      <c r="BF98" s="1" t="s">
        <v>12</v>
      </c>
      <c r="BG98" s="1" t="s">
        <v>12</v>
      </c>
      <c r="BH98" s="1" t="s">
        <v>12</v>
      </c>
      <c r="BI98" s="1">
        <f t="shared" si="65"/>
        <v>35</v>
      </c>
      <c r="BJ98" s="1">
        <f t="shared" si="56"/>
        <v>882</v>
      </c>
      <c r="BK98" s="3" t="s">
        <v>12</v>
      </c>
      <c r="BL98" s="10" t="s">
        <v>12</v>
      </c>
      <c r="BM98" s="10" t="s">
        <v>12</v>
      </c>
      <c r="BN98" s="14" t="s">
        <v>12</v>
      </c>
      <c r="BO98" s="13" t="s">
        <v>12</v>
      </c>
      <c r="BP98" s="13" t="s">
        <v>12</v>
      </c>
      <c r="BQ98" s="13" t="s">
        <v>12</v>
      </c>
      <c r="BR98" s="13" t="s">
        <v>12</v>
      </c>
      <c r="BS98" s="13" t="s">
        <v>12</v>
      </c>
      <c r="BT98" s="13" t="s">
        <v>12</v>
      </c>
      <c r="BU98" s="13" t="s">
        <v>12</v>
      </c>
      <c r="BV98" s="13" t="s">
        <v>12</v>
      </c>
      <c r="BW98" s="13" t="s">
        <v>12</v>
      </c>
      <c r="BX98" s="13" t="s">
        <v>12</v>
      </c>
      <c r="BY98" s="13" t="s">
        <v>12</v>
      </c>
      <c r="BZ98" s="13" t="s">
        <v>12</v>
      </c>
      <c r="CA98" s="13" t="s">
        <v>12</v>
      </c>
      <c r="CB98" s="13" t="s">
        <v>12</v>
      </c>
      <c r="CC98" s="13" t="s">
        <v>12</v>
      </c>
      <c r="CD98" s="13"/>
      <c r="CE98" s="13" t="s">
        <v>12</v>
      </c>
      <c r="CF98" s="13" t="s">
        <v>12</v>
      </c>
      <c r="CG98" s="13" t="s">
        <v>12</v>
      </c>
      <c r="CH98" s="13" t="s">
        <v>12</v>
      </c>
      <c r="CI98" s="13" t="s">
        <v>12</v>
      </c>
      <c r="CJ98" s="13" t="s">
        <v>12</v>
      </c>
      <c r="CK98" s="13" t="s">
        <v>12</v>
      </c>
      <c r="CL98" s="13" t="s">
        <v>12</v>
      </c>
      <c r="CM98" s="13" t="s">
        <v>12</v>
      </c>
      <c r="CN98" s="13" t="s">
        <v>12</v>
      </c>
      <c r="CO98" s="13" t="s">
        <v>12</v>
      </c>
    </row>
    <row r="99" spans="1:99" x14ac:dyDescent="0.25">
      <c r="A99" s="1">
        <v>99</v>
      </c>
      <c r="B99" s="1">
        <v>97</v>
      </c>
      <c r="C99" s="2" t="s">
        <v>71</v>
      </c>
      <c r="D99" s="3" t="s">
        <v>27</v>
      </c>
      <c r="E99" s="1" t="str">
        <f t="shared" si="58"/>
        <v>f</v>
      </c>
      <c r="F99" s="1" t="str">
        <f t="shared" si="66"/>
        <v>C</v>
      </c>
      <c r="G99" s="1" t="str">
        <f t="shared" si="67"/>
        <v>A</v>
      </c>
      <c r="H99" s="1">
        <v>0</v>
      </c>
      <c r="I99" s="1">
        <v>0</v>
      </c>
      <c r="J99" s="8" t="s">
        <v>278</v>
      </c>
      <c r="K99" s="8">
        <v>5</v>
      </c>
      <c r="L99" s="8">
        <v>3</v>
      </c>
      <c r="M99" s="8">
        <v>15</v>
      </c>
      <c r="N99" s="8">
        <v>15.2</v>
      </c>
      <c r="O99" s="8">
        <v>1</v>
      </c>
      <c r="P99" s="1" t="s">
        <v>8</v>
      </c>
      <c r="Q99" s="3">
        <v>45665</v>
      </c>
      <c r="R99" s="3">
        <v>45666</v>
      </c>
      <c r="S99" s="3">
        <v>45656</v>
      </c>
      <c r="T99" s="3">
        <v>45657</v>
      </c>
      <c r="U99" s="1">
        <f t="shared" si="68"/>
        <v>9</v>
      </c>
      <c r="V99" s="3">
        <v>45683</v>
      </c>
      <c r="W99" s="1">
        <f t="shared" si="59"/>
        <v>17</v>
      </c>
      <c r="X99" s="3">
        <v>45689</v>
      </c>
      <c r="Y99" s="1">
        <f t="shared" si="60"/>
        <v>23</v>
      </c>
      <c r="Z99" s="1">
        <f>_xlfn.DAYS(BK99,X99)</f>
        <v>7</v>
      </c>
      <c r="AB99" s="3">
        <v>45702</v>
      </c>
      <c r="AD99" s="11" t="s">
        <v>86</v>
      </c>
      <c r="AE99" s="11">
        <v>45697</v>
      </c>
      <c r="AF99" s="1">
        <f t="shared" si="57"/>
        <v>31</v>
      </c>
      <c r="AG99" s="8">
        <v>0</v>
      </c>
      <c r="AH99" s="5">
        <v>0.83</v>
      </c>
      <c r="AI99" s="1">
        <v>1</v>
      </c>
      <c r="AJ99" s="3">
        <v>45670</v>
      </c>
      <c r="AK99" s="5">
        <f t="shared" si="61"/>
        <v>8.2370000000000001</v>
      </c>
      <c r="AL99" s="5">
        <v>9.0670000000000002</v>
      </c>
      <c r="AM99" s="1">
        <v>2</v>
      </c>
      <c r="AN99" s="3">
        <f t="shared" si="62"/>
        <v>45684</v>
      </c>
      <c r="AO99" s="8">
        <v>8.6820000000000004</v>
      </c>
      <c r="AP99" s="8">
        <v>2</v>
      </c>
      <c r="AQ99" s="3">
        <f t="shared" si="63"/>
        <v>45690</v>
      </c>
      <c r="AR99" s="5">
        <f t="shared" si="64"/>
        <v>7.8520000000000003</v>
      </c>
      <c r="AS99" s="1">
        <v>8</v>
      </c>
      <c r="AT99" s="1">
        <v>27</v>
      </c>
      <c r="AU99" s="1">
        <v>81</v>
      </c>
      <c r="AV99" s="1">
        <f t="shared" si="36"/>
        <v>116</v>
      </c>
      <c r="AW99" s="1">
        <v>75</v>
      </c>
      <c r="AX99" s="1">
        <v>260</v>
      </c>
      <c r="AY99" s="1">
        <v>312</v>
      </c>
      <c r="AZ99" s="1">
        <f t="shared" si="55"/>
        <v>647</v>
      </c>
      <c r="BA99" s="1">
        <v>119</v>
      </c>
      <c r="BB99" s="1">
        <v>0</v>
      </c>
      <c r="BC99" s="1">
        <v>0</v>
      </c>
      <c r="BD99" s="1" t="s">
        <v>12</v>
      </c>
      <c r="BE99" s="1" t="s">
        <v>12</v>
      </c>
      <c r="BF99" s="1" t="s">
        <v>12</v>
      </c>
      <c r="BG99" s="1" t="s">
        <v>12</v>
      </c>
      <c r="BH99" s="1" t="s">
        <v>12</v>
      </c>
      <c r="BI99" s="1">
        <f t="shared" si="65"/>
        <v>119</v>
      </c>
      <c r="BJ99" s="1">
        <f t="shared" si="56"/>
        <v>882</v>
      </c>
      <c r="BK99" s="3">
        <v>45696</v>
      </c>
      <c r="BL99" s="6"/>
      <c r="BM99" s="6" t="s">
        <v>70</v>
      </c>
      <c r="BN99" s="6" t="s">
        <v>204</v>
      </c>
      <c r="BO99" s="13">
        <v>49.33</v>
      </c>
      <c r="BP99" s="13">
        <v>10.27</v>
      </c>
      <c r="BQ99" s="1">
        <v>11</v>
      </c>
      <c r="BR99" s="1">
        <v>0</v>
      </c>
      <c r="BS99" s="1">
        <f>BQ99+BR99</f>
        <v>11</v>
      </c>
      <c r="BT99" s="1">
        <v>12</v>
      </c>
      <c r="BU99" s="1">
        <v>0</v>
      </c>
      <c r="BV99" s="1">
        <f>BT99+BU99</f>
        <v>12</v>
      </c>
      <c r="BW99" s="1">
        <v>11</v>
      </c>
      <c r="BX99" s="1">
        <v>0</v>
      </c>
      <c r="BY99" s="1">
        <f>BW99+BX99</f>
        <v>11</v>
      </c>
      <c r="BZ99" s="1">
        <v>11</v>
      </c>
      <c r="CA99" s="1">
        <v>0</v>
      </c>
      <c r="CB99" s="1">
        <f>BZ99+CA99</f>
        <v>11</v>
      </c>
      <c r="CC99" s="1">
        <f>BS99+BV99+BY99+CB99</f>
        <v>45</v>
      </c>
      <c r="CE99" s="7">
        <f>CC99+CD99</f>
        <v>45</v>
      </c>
      <c r="CF99" s="1">
        <v>3</v>
      </c>
      <c r="CG99" s="1">
        <v>8</v>
      </c>
      <c r="CH99" s="1">
        <v>15</v>
      </c>
      <c r="CI99" s="1">
        <v>13</v>
      </c>
      <c r="CJ99" s="1">
        <v>4</v>
      </c>
      <c r="CK99" s="1">
        <v>0</v>
      </c>
      <c r="CL99" s="1">
        <v>0</v>
      </c>
      <c r="CM99" s="1">
        <v>0</v>
      </c>
      <c r="CN99" s="1">
        <f>CF99+CG99+CH99+CI99+CJ99+CK99+CL99+CM99</f>
        <v>43</v>
      </c>
      <c r="CO99" s="1">
        <f>CN99/CE99</f>
        <v>0.9555555555555556</v>
      </c>
      <c r="CP99" s="8">
        <v>3.3250000000000002</v>
      </c>
      <c r="CQ99" s="8">
        <v>5</v>
      </c>
      <c r="CR99" s="1">
        <f>CP99/CQ99</f>
        <v>0.66500000000000004</v>
      </c>
      <c r="CS99" s="1">
        <v>2.0430000000000001</v>
      </c>
      <c r="CT99" s="8">
        <v>4</v>
      </c>
      <c r="CU99" s="1">
        <f>CS99/CT99</f>
        <v>0.51075000000000004</v>
      </c>
    </row>
    <row r="100" spans="1:99" x14ac:dyDescent="0.25">
      <c r="A100" s="1">
        <v>100</v>
      </c>
      <c r="B100" s="1">
        <v>98</v>
      </c>
      <c r="C100" s="2" t="s">
        <v>125</v>
      </c>
      <c r="D100" s="1" t="s">
        <v>280</v>
      </c>
      <c r="E100" s="1" t="s">
        <v>12</v>
      </c>
      <c r="F100" s="1" t="str">
        <f t="shared" si="66"/>
        <v>I</v>
      </c>
      <c r="G100" s="1" t="str">
        <f t="shared" si="67"/>
        <v>C</v>
      </c>
      <c r="H100" s="1">
        <v>0</v>
      </c>
      <c r="I100" s="1">
        <v>1</v>
      </c>
      <c r="J100" s="8" t="s">
        <v>278</v>
      </c>
      <c r="K100" s="8">
        <v>5</v>
      </c>
      <c r="L100" s="8">
        <v>3</v>
      </c>
      <c r="M100" s="8">
        <v>15</v>
      </c>
      <c r="N100" s="8">
        <v>16.2</v>
      </c>
      <c r="O100" s="8"/>
      <c r="P100" s="1" t="s">
        <v>8</v>
      </c>
      <c r="Q100" s="3">
        <v>45665</v>
      </c>
      <c r="R100" s="3">
        <v>45666</v>
      </c>
      <c r="S100" s="3">
        <v>45656</v>
      </c>
      <c r="T100" s="3">
        <v>45657</v>
      </c>
      <c r="U100" s="1">
        <f t="shared" si="68"/>
        <v>9</v>
      </c>
      <c r="V100" s="3">
        <v>45683</v>
      </c>
      <c r="W100" s="1">
        <f t="shared" si="59"/>
        <v>17</v>
      </c>
      <c r="X100" s="1" t="s">
        <v>12</v>
      </c>
      <c r="Y100" s="1" t="s">
        <v>12</v>
      </c>
      <c r="AA100" s="3">
        <v>45691</v>
      </c>
      <c r="AD100" s="11"/>
      <c r="AE100" s="11">
        <f>AA100</f>
        <v>45691</v>
      </c>
      <c r="AF100" s="1">
        <f t="shared" si="57"/>
        <v>25</v>
      </c>
      <c r="AG100" s="1">
        <v>1</v>
      </c>
      <c r="AH100" s="5">
        <v>1.105</v>
      </c>
      <c r="AI100" s="1">
        <v>1</v>
      </c>
      <c r="AJ100" s="3">
        <v>45670</v>
      </c>
      <c r="AK100" s="5">
        <f t="shared" si="61"/>
        <v>6.6379999999999999</v>
      </c>
      <c r="AL100" s="5">
        <v>7.7430000000000003</v>
      </c>
      <c r="AM100" s="1">
        <v>2</v>
      </c>
      <c r="AN100" s="3">
        <f t="shared" si="62"/>
        <v>45684</v>
      </c>
      <c r="AO100" s="1" t="s">
        <v>12</v>
      </c>
      <c r="AP100" s="5" t="s">
        <v>12</v>
      </c>
      <c r="AQ100" s="3" t="s">
        <v>12</v>
      </c>
      <c r="AR100" s="1" t="s">
        <v>12</v>
      </c>
      <c r="AS100" s="1">
        <v>12</v>
      </c>
      <c r="AT100" s="1">
        <v>41</v>
      </c>
      <c r="AU100" s="1">
        <v>64</v>
      </c>
      <c r="AV100" s="1">
        <f t="shared" si="36"/>
        <v>117</v>
      </c>
      <c r="AW100" s="1">
        <v>121</v>
      </c>
      <c r="AX100" s="1">
        <v>206</v>
      </c>
      <c r="AY100" s="1">
        <v>173</v>
      </c>
      <c r="AZ100" s="1">
        <f t="shared" si="55"/>
        <v>500</v>
      </c>
      <c r="BA100" s="1">
        <v>7</v>
      </c>
      <c r="BB100" s="1">
        <v>0</v>
      </c>
      <c r="BC100" s="1">
        <v>0</v>
      </c>
      <c r="BD100" s="1" t="s">
        <v>12</v>
      </c>
      <c r="BE100" s="1" t="s">
        <v>12</v>
      </c>
      <c r="BF100" s="1" t="s">
        <v>12</v>
      </c>
      <c r="BG100" s="1" t="s">
        <v>12</v>
      </c>
      <c r="BH100" s="1" t="s">
        <v>12</v>
      </c>
      <c r="BI100" s="1">
        <f t="shared" si="65"/>
        <v>7</v>
      </c>
      <c r="BJ100" s="1">
        <f t="shared" si="56"/>
        <v>624</v>
      </c>
      <c r="BK100" s="3" t="s">
        <v>12</v>
      </c>
      <c r="BL100" s="10" t="s">
        <v>12</v>
      </c>
      <c r="BM100" s="10" t="s">
        <v>12</v>
      </c>
      <c r="BN100" s="14" t="s">
        <v>12</v>
      </c>
      <c r="BO100" s="13" t="s">
        <v>12</v>
      </c>
      <c r="BP100" s="13" t="s">
        <v>12</v>
      </c>
      <c r="BQ100" s="13" t="s">
        <v>12</v>
      </c>
      <c r="BR100" s="13" t="s">
        <v>12</v>
      </c>
      <c r="BS100" s="13" t="s">
        <v>12</v>
      </c>
      <c r="BT100" s="13" t="s">
        <v>12</v>
      </c>
      <c r="BU100" s="13" t="s">
        <v>12</v>
      </c>
      <c r="BV100" s="13" t="s">
        <v>12</v>
      </c>
      <c r="BW100" s="13" t="s">
        <v>12</v>
      </c>
      <c r="BX100" s="13" t="s">
        <v>12</v>
      </c>
      <c r="BY100" s="13" t="s">
        <v>12</v>
      </c>
      <c r="BZ100" s="13" t="s">
        <v>12</v>
      </c>
      <c r="CA100" s="13" t="s">
        <v>12</v>
      </c>
      <c r="CB100" s="13" t="s">
        <v>12</v>
      </c>
      <c r="CC100" s="13" t="s">
        <v>12</v>
      </c>
      <c r="CD100" s="13"/>
      <c r="CE100" s="13" t="s">
        <v>12</v>
      </c>
      <c r="CF100" s="13" t="s">
        <v>12</v>
      </c>
      <c r="CG100" s="13" t="s">
        <v>12</v>
      </c>
      <c r="CH100" s="13" t="s">
        <v>12</v>
      </c>
      <c r="CI100" s="13" t="s">
        <v>12</v>
      </c>
      <c r="CJ100" s="13" t="s">
        <v>12</v>
      </c>
      <c r="CK100" s="13" t="s">
        <v>12</v>
      </c>
      <c r="CL100" s="13" t="s">
        <v>12</v>
      </c>
      <c r="CM100" s="13" t="s">
        <v>12</v>
      </c>
      <c r="CN100" s="13" t="s">
        <v>12</v>
      </c>
      <c r="CO100" s="13" t="s">
        <v>12</v>
      </c>
    </row>
    <row r="101" spans="1:99" x14ac:dyDescent="0.25">
      <c r="A101" s="1">
        <v>101</v>
      </c>
      <c r="B101" s="1">
        <v>99</v>
      </c>
      <c r="C101" s="2" t="s">
        <v>126</v>
      </c>
      <c r="D101" s="1" t="s">
        <v>280</v>
      </c>
      <c r="E101" s="1" t="s">
        <v>12</v>
      </c>
      <c r="F101" s="1" t="str">
        <f t="shared" si="66"/>
        <v>A</v>
      </c>
      <c r="G101" s="1" t="str">
        <f t="shared" si="67"/>
        <v>B</v>
      </c>
      <c r="H101" s="1">
        <v>1</v>
      </c>
      <c r="I101" s="1">
        <v>0</v>
      </c>
      <c r="J101" s="8" t="s">
        <v>278</v>
      </c>
      <c r="K101" s="8">
        <v>5</v>
      </c>
      <c r="L101" s="8">
        <v>3</v>
      </c>
      <c r="M101" s="8">
        <v>15</v>
      </c>
      <c r="N101" s="8">
        <v>17.2</v>
      </c>
      <c r="O101" s="8"/>
      <c r="P101" s="1" t="s">
        <v>8</v>
      </c>
      <c r="Q101" s="3">
        <v>45665</v>
      </c>
      <c r="R101" s="3">
        <v>45666</v>
      </c>
      <c r="S101" s="3">
        <v>45656</v>
      </c>
      <c r="T101" s="3">
        <v>45657</v>
      </c>
      <c r="U101" s="1">
        <f t="shared" si="68"/>
        <v>9</v>
      </c>
      <c r="V101" s="3">
        <v>45684</v>
      </c>
      <c r="W101" s="1">
        <f t="shared" si="59"/>
        <v>18</v>
      </c>
      <c r="X101" s="3">
        <v>45691</v>
      </c>
      <c r="Y101" s="1">
        <f>_xlfn.DAYS(X101,R101)</f>
        <v>25</v>
      </c>
      <c r="AA101" s="3">
        <v>45692</v>
      </c>
      <c r="AD101" s="11"/>
      <c r="AE101" s="11">
        <f>AA101</f>
        <v>45692</v>
      </c>
      <c r="AF101" s="1">
        <f t="shared" si="57"/>
        <v>26</v>
      </c>
      <c r="AG101" s="1">
        <v>1</v>
      </c>
      <c r="AH101" s="5">
        <v>0.42399999999999999</v>
      </c>
      <c r="AI101" s="1">
        <v>1</v>
      </c>
      <c r="AJ101" s="3">
        <v>45670</v>
      </c>
      <c r="AK101" s="5">
        <f t="shared" si="61"/>
        <v>6.38</v>
      </c>
      <c r="AL101" s="5">
        <v>6.8040000000000003</v>
      </c>
      <c r="AM101" s="1">
        <v>1</v>
      </c>
      <c r="AN101" s="3">
        <f t="shared" si="62"/>
        <v>45685</v>
      </c>
      <c r="AO101" s="1">
        <v>7.6059999999999999</v>
      </c>
      <c r="AP101" s="8">
        <v>2</v>
      </c>
      <c r="AQ101" s="3">
        <f>X101+1</f>
        <v>45692</v>
      </c>
      <c r="AR101" s="5">
        <f>AO101-AH101</f>
        <v>7.1819999999999995</v>
      </c>
      <c r="AS101" s="1">
        <v>7</v>
      </c>
      <c r="AT101" s="1">
        <v>19</v>
      </c>
      <c r="AU101" s="1">
        <v>47</v>
      </c>
      <c r="AV101" s="1">
        <f t="shared" si="36"/>
        <v>73</v>
      </c>
      <c r="AW101" s="1">
        <v>69</v>
      </c>
      <c r="AX101" s="1">
        <v>181</v>
      </c>
      <c r="AY101" s="1">
        <v>331</v>
      </c>
      <c r="AZ101" s="1">
        <f t="shared" si="55"/>
        <v>581</v>
      </c>
      <c r="BA101" s="1">
        <v>89</v>
      </c>
      <c r="BB101" s="1">
        <v>0</v>
      </c>
      <c r="BC101" s="1">
        <v>0</v>
      </c>
      <c r="BD101" s="1" t="s">
        <v>12</v>
      </c>
      <c r="BE101" s="1" t="s">
        <v>12</v>
      </c>
      <c r="BF101" s="1" t="s">
        <v>12</v>
      </c>
      <c r="BG101" s="1" t="s">
        <v>12</v>
      </c>
      <c r="BH101" s="1" t="s">
        <v>12</v>
      </c>
      <c r="BI101" s="1">
        <f t="shared" si="65"/>
        <v>89</v>
      </c>
      <c r="BJ101" s="1">
        <f t="shared" si="56"/>
        <v>743</v>
      </c>
      <c r="BK101" s="3" t="s">
        <v>12</v>
      </c>
      <c r="BL101" s="10" t="s">
        <v>12</v>
      </c>
      <c r="BM101" s="10" t="s">
        <v>12</v>
      </c>
      <c r="BN101" s="14" t="s">
        <v>12</v>
      </c>
      <c r="BO101" s="13" t="s">
        <v>12</v>
      </c>
      <c r="BP101" s="13" t="s">
        <v>12</v>
      </c>
      <c r="BQ101" s="13" t="s">
        <v>12</v>
      </c>
      <c r="BR101" s="13" t="s">
        <v>12</v>
      </c>
      <c r="BS101" s="13" t="s">
        <v>12</v>
      </c>
      <c r="BT101" s="13" t="s">
        <v>12</v>
      </c>
      <c r="BU101" s="13" t="s">
        <v>12</v>
      </c>
      <c r="BV101" s="13" t="s">
        <v>12</v>
      </c>
      <c r="BW101" s="13" t="s">
        <v>12</v>
      </c>
      <c r="BX101" s="13" t="s">
        <v>12</v>
      </c>
      <c r="BY101" s="13" t="s">
        <v>12</v>
      </c>
      <c r="BZ101" s="13" t="s">
        <v>12</v>
      </c>
      <c r="CA101" s="13" t="s">
        <v>12</v>
      </c>
      <c r="CB101" s="13" t="s">
        <v>12</v>
      </c>
      <c r="CC101" s="13" t="s">
        <v>12</v>
      </c>
      <c r="CD101" s="13"/>
      <c r="CE101" s="13" t="s">
        <v>12</v>
      </c>
      <c r="CF101" s="13" t="s">
        <v>12</v>
      </c>
      <c r="CG101" s="13" t="s">
        <v>12</v>
      </c>
      <c r="CH101" s="13" t="s">
        <v>12</v>
      </c>
      <c r="CI101" s="13" t="s">
        <v>12</v>
      </c>
      <c r="CJ101" s="13" t="s">
        <v>12</v>
      </c>
      <c r="CK101" s="13" t="s">
        <v>12</v>
      </c>
      <c r="CL101" s="13" t="s">
        <v>12</v>
      </c>
      <c r="CM101" s="13" t="s">
        <v>12</v>
      </c>
      <c r="CN101" s="13" t="s">
        <v>12</v>
      </c>
      <c r="CO101" s="13" t="s">
        <v>12</v>
      </c>
    </row>
    <row r="102" spans="1:99" x14ac:dyDescent="0.25">
      <c r="A102" s="1">
        <v>102</v>
      </c>
      <c r="B102" s="1">
        <v>100</v>
      </c>
      <c r="C102" s="2" t="s">
        <v>127</v>
      </c>
      <c r="D102" s="3" t="s">
        <v>10</v>
      </c>
      <c r="E102" s="1" t="str">
        <f>D102</f>
        <v>m</v>
      </c>
      <c r="F102" s="1" t="str">
        <f t="shared" si="66"/>
        <v>C</v>
      </c>
      <c r="G102" s="1" t="str">
        <f t="shared" si="67"/>
        <v>A</v>
      </c>
      <c r="H102" s="1">
        <v>0</v>
      </c>
      <c r="I102" s="1">
        <v>0</v>
      </c>
      <c r="J102" s="8" t="s">
        <v>278</v>
      </c>
      <c r="K102" s="8">
        <v>5</v>
      </c>
      <c r="L102" s="8">
        <v>3</v>
      </c>
      <c r="M102" s="8">
        <v>16</v>
      </c>
      <c r="N102" s="8">
        <v>17.2</v>
      </c>
      <c r="O102" s="8">
        <v>1</v>
      </c>
      <c r="P102" s="1" t="s">
        <v>8</v>
      </c>
      <c r="Q102" s="3">
        <v>45665</v>
      </c>
      <c r="R102" s="3">
        <v>45666</v>
      </c>
      <c r="S102" s="3">
        <v>45656</v>
      </c>
      <c r="T102" s="3">
        <v>45657</v>
      </c>
      <c r="U102" s="1">
        <f t="shared" si="68"/>
        <v>9</v>
      </c>
      <c r="V102" s="3">
        <v>45683</v>
      </c>
      <c r="W102" s="1">
        <f t="shared" si="59"/>
        <v>17</v>
      </c>
      <c r="X102" s="3">
        <v>45688</v>
      </c>
      <c r="Y102" s="1">
        <f>_xlfn.DAYS(X102,R102)</f>
        <v>22</v>
      </c>
      <c r="Z102" s="1">
        <f>_xlfn.DAYS(BK102,X102)</f>
        <v>7</v>
      </c>
      <c r="AB102" s="3">
        <v>45697</v>
      </c>
      <c r="AD102" s="11" t="s">
        <v>86</v>
      </c>
      <c r="AE102" s="11">
        <v>45697</v>
      </c>
      <c r="AF102" s="1">
        <f t="shared" si="57"/>
        <v>31</v>
      </c>
      <c r="AG102" s="8">
        <v>0</v>
      </c>
      <c r="AH102" s="5">
        <v>0.78</v>
      </c>
      <c r="AI102" s="1">
        <v>1</v>
      </c>
      <c r="AJ102" s="3">
        <v>45670</v>
      </c>
      <c r="AK102" s="5">
        <f t="shared" si="61"/>
        <v>5.9589999999999996</v>
      </c>
      <c r="AL102" s="5">
        <v>6.7389999999999999</v>
      </c>
      <c r="AM102" s="1" t="s">
        <v>12</v>
      </c>
      <c r="AN102" s="3">
        <f t="shared" si="62"/>
        <v>45684</v>
      </c>
      <c r="AO102" s="1">
        <v>5.6840000000000002</v>
      </c>
      <c r="AP102" s="8">
        <v>2</v>
      </c>
      <c r="AQ102" s="3">
        <f>X102+1</f>
        <v>45689</v>
      </c>
      <c r="AR102" s="5">
        <f>AO102-AH102</f>
        <v>4.9039999999999999</v>
      </c>
      <c r="AS102" s="1">
        <v>12</v>
      </c>
      <c r="AT102" s="1">
        <v>15</v>
      </c>
      <c r="AU102" s="1">
        <v>90</v>
      </c>
      <c r="AV102" s="1">
        <f t="shared" si="36"/>
        <v>117</v>
      </c>
      <c r="AW102" s="1">
        <v>72</v>
      </c>
      <c r="AX102" s="1">
        <v>299</v>
      </c>
      <c r="AY102" s="1">
        <v>244</v>
      </c>
      <c r="AZ102" s="1">
        <f t="shared" si="55"/>
        <v>615</v>
      </c>
      <c r="BA102" s="1">
        <v>12</v>
      </c>
      <c r="BB102" s="1">
        <v>0</v>
      </c>
      <c r="BC102" s="1">
        <v>0</v>
      </c>
      <c r="BD102" s="1" t="s">
        <v>12</v>
      </c>
      <c r="BE102" s="1" t="s">
        <v>12</v>
      </c>
      <c r="BF102" s="1" t="s">
        <v>12</v>
      </c>
      <c r="BG102" s="1" t="s">
        <v>12</v>
      </c>
      <c r="BH102" s="1" t="s">
        <v>12</v>
      </c>
      <c r="BI102" s="1">
        <f t="shared" si="65"/>
        <v>12</v>
      </c>
      <c r="BJ102" s="1">
        <f t="shared" si="56"/>
        <v>744</v>
      </c>
      <c r="BK102" s="3">
        <v>45695</v>
      </c>
      <c r="BL102" s="6" t="s">
        <v>128</v>
      </c>
      <c r="BM102" s="6"/>
      <c r="BN102" s="6" t="s">
        <v>197</v>
      </c>
      <c r="BO102" s="13">
        <v>58.02</v>
      </c>
      <c r="BP102" s="13">
        <v>1.58</v>
      </c>
      <c r="BQ102" s="1">
        <v>0</v>
      </c>
      <c r="BR102" s="1">
        <v>3</v>
      </c>
      <c r="BS102" s="1">
        <f>BQ102+BR102</f>
        <v>3</v>
      </c>
      <c r="BT102" s="1">
        <v>13</v>
      </c>
      <c r="BU102" s="1">
        <v>1</v>
      </c>
      <c r="BV102" s="1">
        <f>BT102+BU102</f>
        <v>14</v>
      </c>
      <c r="BW102" s="1">
        <v>14</v>
      </c>
      <c r="BX102" s="1">
        <v>1</v>
      </c>
      <c r="BY102" s="1">
        <f>BW102+BX102</f>
        <v>15</v>
      </c>
      <c r="BZ102" s="1">
        <v>9</v>
      </c>
      <c r="CA102" s="1">
        <v>0</v>
      </c>
      <c r="CB102" s="1">
        <f>BZ102+CA102</f>
        <v>9</v>
      </c>
      <c r="CC102" s="1">
        <f>BS102+BV102+BY102+CB102</f>
        <v>41</v>
      </c>
      <c r="CE102" s="7">
        <f>CC102+CD102</f>
        <v>41</v>
      </c>
      <c r="CF102" s="8">
        <v>2</v>
      </c>
      <c r="CG102" s="8">
        <v>7</v>
      </c>
      <c r="CH102" s="8">
        <v>11</v>
      </c>
      <c r="CI102" s="8">
        <v>9</v>
      </c>
      <c r="CJ102" s="8">
        <v>4</v>
      </c>
      <c r="CK102" s="8">
        <v>0</v>
      </c>
      <c r="CL102" s="8">
        <v>0</v>
      </c>
      <c r="CM102" s="8">
        <v>0</v>
      </c>
      <c r="CN102" s="1">
        <f>CF102+CG102+CH102+CI102+CJ102+CK102+CL102+CM102</f>
        <v>33</v>
      </c>
      <c r="CO102" s="1">
        <f>CN102/CE102</f>
        <v>0.80487804878048785</v>
      </c>
      <c r="CP102" s="8">
        <v>2.8</v>
      </c>
      <c r="CQ102" s="8">
        <v>3</v>
      </c>
      <c r="CR102" s="1">
        <f>CP102/CQ102</f>
        <v>0.93333333333333324</v>
      </c>
      <c r="CS102" s="1">
        <v>4.2750000000000004</v>
      </c>
      <c r="CT102" s="8">
        <v>5</v>
      </c>
      <c r="CU102" s="1">
        <f>CS102/CT102</f>
        <v>0.85500000000000009</v>
      </c>
    </row>
    <row r="103" spans="1:99" x14ac:dyDescent="0.25">
      <c r="A103" s="1">
        <v>103</v>
      </c>
      <c r="B103" s="1">
        <v>101</v>
      </c>
      <c r="C103" s="2" t="s">
        <v>129</v>
      </c>
      <c r="D103" s="1" t="s">
        <v>280</v>
      </c>
      <c r="E103" s="1" t="s">
        <v>12</v>
      </c>
      <c r="F103" s="1" t="str">
        <f t="shared" si="66"/>
        <v>I</v>
      </c>
      <c r="G103" s="1" t="str">
        <f t="shared" si="67"/>
        <v>C</v>
      </c>
      <c r="H103" s="1">
        <v>0</v>
      </c>
      <c r="I103" s="1">
        <v>1</v>
      </c>
      <c r="J103" s="8" t="s">
        <v>278</v>
      </c>
      <c r="K103" s="8">
        <v>5</v>
      </c>
      <c r="L103" s="8">
        <v>3</v>
      </c>
      <c r="M103" s="8">
        <v>16</v>
      </c>
      <c r="N103" s="8">
        <v>16.2</v>
      </c>
      <c r="O103" s="8"/>
      <c r="P103" s="1" t="s">
        <v>8</v>
      </c>
      <c r="Q103" s="3">
        <v>45665</v>
      </c>
      <c r="R103" s="3">
        <v>45666</v>
      </c>
      <c r="S103" s="3">
        <v>45656</v>
      </c>
      <c r="T103" s="3">
        <v>45657</v>
      </c>
      <c r="U103" s="1">
        <f t="shared" si="68"/>
        <v>9</v>
      </c>
      <c r="V103" s="1" t="s">
        <v>12</v>
      </c>
      <c r="W103" s="1" t="s">
        <v>12</v>
      </c>
      <c r="X103" s="1" t="s">
        <v>12</v>
      </c>
      <c r="Y103" s="1" t="s">
        <v>12</v>
      </c>
      <c r="AA103" s="3">
        <v>45667</v>
      </c>
      <c r="AE103" s="11">
        <f>AA103</f>
        <v>45667</v>
      </c>
      <c r="AF103" s="1">
        <f t="shared" si="57"/>
        <v>1</v>
      </c>
      <c r="AG103" s="1">
        <v>1</v>
      </c>
      <c r="AH103" s="5" t="s">
        <v>12</v>
      </c>
      <c r="AI103" s="1">
        <v>1</v>
      </c>
      <c r="AJ103" s="3">
        <v>45670</v>
      </c>
      <c r="AK103" s="5" t="s">
        <v>12</v>
      </c>
      <c r="AL103" s="5" t="s">
        <v>12</v>
      </c>
      <c r="AM103" s="1" t="s">
        <v>12</v>
      </c>
      <c r="AN103" s="3" t="s">
        <v>12</v>
      </c>
      <c r="AO103" s="1" t="s">
        <v>12</v>
      </c>
      <c r="AP103" s="5" t="s">
        <v>12</v>
      </c>
      <c r="AQ103" s="3" t="s">
        <v>12</v>
      </c>
      <c r="AR103" s="1" t="s">
        <v>12</v>
      </c>
      <c r="AS103" s="1" t="s">
        <v>12</v>
      </c>
      <c r="AT103" s="1" t="s">
        <v>12</v>
      </c>
      <c r="AU103" s="1" t="s">
        <v>12</v>
      </c>
      <c r="AV103" s="1" t="s">
        <v>12</v>
      </c>
      <c r="AW103" s="1" t="s">
        <v>12</v>
      </c>
      <c r="AX103" s="1" t="s">
        <v>12</v>
      </c>
      <c r="AY103" s="1" t="s">
        <v>12</v>
      </c>
      <c r="AZ103" s="1" t="s">
        <v>12</v>
      </c>
      <c r="BA103" s="1" t="s">
        <v>12</v>
      </c>
      <c r="BB103" s="1" t="s">
        <v>12</v>
      </c>
      <c r="BC103" s="1" t="s">
        <v>12</v>
      </c>
      <c r="BD103" s="1" t="s">
        <v>12</v>
      </c>
      <c r="BE103" s="1" t="s">
        <v>12</v>
      </c>
      <c r="BF103" s="1" t="s">
        <v>12</v>
      </c>
      <c r="BG103" s="1" t="s">
        <v>12</v>
      </c>
      <c r="BH103" s="1" t="s">
        <v>12</v>
      </c>
      <c r="BI103" s="1" t="s">
        <v>12</v>
      </c>
      <c r="BJ103" s="1" t="s">
        <v>12</v>
      </c>
      <c r="BK103" s="3" t="s">
        <v>12</v>
      </c>
      <c r="BL103" s="10" t="s">
        <v>12</v>
      </c>
      <c r="BM103" s="10" t="s">
        <v>12</v>
      </c>
      <c r="BN103" s="14" t="s">
        <v>12</v>
      </c>
      <c r="BO103" s="13" t="s">
        <v>12</v>
      </c>
      <c r="BP103" s="13" t="s">
        <v>12</v>
      </c>
      <c r="BQ103" s="13" t="s">
        <v>12</v>
      </c>
      <c r="BR103" s="13" t="s">
        <v>12</v>
      </c>
      <c r="BS103" s="13" t="s">
        <v>12</v>
      </c>
      <c r="BT103" s="13" t="s">
        <v>12</v>
      </c>
      <c r="BU103" s="13" t="s">
        <v>12</v>
      </c>
      <c r="BV103" s="13" t="s">
        <v>12</v>
      </c>
      <c r="BW103" s="13" t="s">
        <v>12</v>
      </c>
      <c r="BX103" s="13" t="s">
        <v>12</v>
      </c>
      <c r="BY103" s="13" t="s">
        <v>12</v>
      </c>
      <c r="BZ103" s="13" t="s">
        <v>12</v>
      </c>
      <c r="CA103" s="13" t="s">
        <v>12</v>
      </c>
      <c r="CB103" s="13" t="s">
        <v>12</v>
      </c>
      <c r="CC103" s="13" t="s">
        <v>12</v>
      </c>
      <c r="CD103" s="13"/>
      <c r="CE103" s="13" t="s">
        <v>12</v>
      </c>
      <c r="CF103" s="13" t="s">
        <v>12</v>
      </c>
      <c r="CG103" s="13" t="s">
        <v>12</v>
      </c>
      <c r="CH103" s="13" t="s">
        <v>12</v>
      </c>
      <c r="CI103" s="13" t="s">
        <v>12</v>
      </c>
      <c r="CJ103" s="13" t="s">
        <v>12</v>
      </c>
      <c r="CK103" s="13" t="s">
        <v>12</v>
      </c>
      <c r="CL103" s="13" t="s">
        <v>12</v>
      </c>
      <c r="CM103" s="13" t="s">
        <v>12</v>
      </c>
      <c r="CN103" s="13" t="s">
        <v>12</v>
      </c>
      <c r="CO103" s="13" t="s">
        <v>12</v>
      </c>
    </row>
    <row r="104" spans="1:99" x14ac:dyDescent="0.25">
      <c r="A104" s="1">
        <v>104</v>
      </c>
      <c r="B104" s="1">
        <v>102</v>
      </c>
      <c r="C104" s="2" t="s">
        <v>130</v>
      </c>
      <c r="D104" s="3" t="s">
        <v>10</v>
      </c>
      <c r="E104" s="1" t="str">
        <f>D104</f>
        <v>m</v>
      </c>
      <c r="F104" s="1" t="str">
        <f t="shared" si="66"/>
        <v>M</v>
      </c>
      <c r="G104" s="1" t="str">
        <f t="shared" si="67"/>
        <v>D</v>
      </c>
      <c r="H104" s="1">
        <v>1</v>
      </c>
      <c r="I104" s="1">
        <v>1</v>
      </c>
      <c r="J104" s="8" t="s">
        <v>276</v>
      </c>
      <c r="K104" s="8">
        <v>5</v>
      </c>
      <c r="L104" s="8">
        <v>3</v>
      </c>
      <c r="M104" s="8">
        <v>16</v>
      </c>
      <c r="N104" s="8">
        <v>15.2</v>
      </c>
      <c r="O104" s="8">
        <v>1</v>
      </c>
      <c r="P104" s="1" t="s">
        <v>8</v>
      </c>
      <c r="Q104" s="3">
        <v>45665</v>
      </c>
      <c r="R104" s="3">
        <v>45666</v>
      </c>
      <c r="S104" s="3">
        <v>45656</v>
      </c>
      <c r="T104" s="3">
        <v>45657</v>
      </c>
      <c r="U104" s="1">
        <f t="shared" si="68"/>
        <v>9</v>
      </c>
      <c r="V104" s="3">
        <v>45686</v>
      </c>
      <c r="W104" s="1">
        <f>_xlfn.DAYS(V104,R104)</f>
        <v>20</v>
      </c>
      <c r="X104" s="3">
        <v>45691</v>
      </c>
      <c r="Y104" s="1">
        <f>_xlfn.DAYS(X104,R104)</f>
        <v>25</v>
      </c>
      <c r="AB104" s="3">
        <v>45700</v>
      </c>
      <c r="AD104" s="11" t="s">
        <v>86</v>
      </c>
      <c r="AE104" s="11">
        <v>45697</v>
      </c>
      <c r="AF104" s="1">
        <f t="shared" si="57"/>
        <v>31</v>
      </c>
      <c r="AG104" s="8">
        <v>0</v>
      </c>
      <c r="AH104" s="5">
        <v>0.52300000000000002</v>
      </c>
      <c r="AI104" s="1">
        <v>1</v>
      </c>
      <c r="AJ104" s="3">
        <v>45670</v>
      </c>
      <c r="AK104" s="5">
        <f>AL104-AH104</f>
        <v>5.7120000000000006</v>
      </c>
      <c r="AL104" s="5">
        <v>6.2350000000000003</v>
      </c>
      <c r="AM104" s="1">
        <v>2</v>
      </c>
      <c r="AN104" s="3">
        <f>V104+1</f>
        <v>45687</v>
      </c>
      <c r="AO104" s="1">
        <v>5.4850000000000003</v>
      </c>
      <c r="AP104" s="8">
        <v>2</v>
      </c>
      <c r="AQ104" s="3">
        <f>X104+1</f>
        <v>45692</v>
      </c>
      <c r="AR104" s="5">
        <f>AO104-AH104</f>
        <v>4.9620000000000006</v>
      </c>
      <c r="AS104" s="1">
        <v>8</v>
      </c>
      <c r="AT104" s="1">
        <v>16</v>
      </c>
      <c r="AU104" s="1">
        <v>31</v>
      </c>
      <c r="AV104" s="1">
        <f t="shared" ref="AV104:AV121" si="69">AS104+AT104+AU104</f>
        <v>55</v>
      </c>
      <c r="AW104" s="1">
        <v>19</v>
      </c>
      <c r="AX104" s="1">
        <v>43</v>
      </c>
      <c r="AY104" s="1">
        <v>185</v>
      </c>
      <c r="AZ104" s="1">
        <f>SUM(AW104+AX104+AY104)</f>
        <v>247</v>
      </c>
      <c r="BA104" s="1">
        <v>240</v>
      </c>
      <c r="BB104" s="1">
        <v>28</v>
      </c>
      <c r="BC104" s="1">
        <v>0</v>
      </c>
      <c r="BD104" s="1">
        <v>0</v>
      </c>
      <c r="BE104" s="1" t="s">
        <v>12</v>
      </c>
      <c r="BF104" s="1" t="s">
        <v>12</v>
      </c>
      <c r="BG104" s="1" t="s">
        <v>12</v>
      </c>
      <c r="BH104" s="1" t="s">
        <v>12</v>
      </c>
      <c r="BI104" s="1">
        <f>BA104+BB104+BC104+BD104</f>
        <v>268</v>
      </c>
      <c r="BJ104" s="1">
        <f>AV104+AZ104+BI104</f>
        <v>570</v>
      </c>
      <c r="BK104" s="3" t="s">
        <v>12</v>
      </c>
      <c r="BL104" s="10" t="s">
        <v>12</v>
      </c>
      <c r="BM104" s="10" t="s">
        <v>12</v>
      </c>
      <c r="BN104" s="14" t="s">
        <v>12</v>
      </c>
      <c r="BO104" s="13" t="s">
        <v>12</v>
      </c>
      <c r="BP104" s="13" t="s">
        <v>12</v>
      </c>
      <c r="BQ104" s="13" t="s">
        <v>12</v>
      </c>
      <c r="BR104" s="13" t="s">
        <v>12</v>
      </c>
      <c r="BS104" s="13" t="s">
        <v>12</v>
      </c>
      <c r="BT104" s="13" t="s">
        <v>12</v>
      </c>
      <c r="BU104" s="13" t="s">
        <v>12</v>
      </c>
      <c r="BV104" s="13" t="s">
        <v>12</v>
      </c>
      <c r="BW104" s="13" t="s">
        <v>12</v>
      </c>
      <c r="BX104" s="13" t="s">
        <v>12</v>
      </c>
      <c r="BY104" s="13" t="s">
        <v>12</v>
      </c>
      <c r="BZ104" s="13" t="s">
        <v>12</v>
      </c>
      <c r="CA104" s="13" t="s">
        <v>12</v>
      </c>
      <c r="CB104" s="13" t="s">
        <v>12</v>
      </c>
      <c r="CC104" s="13" t="s">
        <v>12</v>
      </c>
      <c r="CD104" s="13"/>
      <c r="CE104" s="13" t="s">
        <v>12</v>
      </c>
      <c r="CF104" s="13" t="s">
        <v>12</v>
      </c>
      <c r="CG104" s="13" t="s">
        <v>12</v>
      </c>
      <c r="CH104" s="13" t="s">
        <v>12</v>
      </c>
      <c r="CI104" s="13" t="s">
        <v>12</v>
      </c>
      <c r="CJ104" s="13" t="s">
        <v>12</v>
      </c>
      <c r="CK104" s="13" t="s">
        <v>12</v>
      </c>
      <c r="CL104" s="13" t="s">
        <v>12</v>
      </c>
      <c r="CM104" s="13" t="s">
        <v>12</v>
      </c>
      <c r="CN104" s="13" t="s">
        <v>12</v>
      </c>
      <c r="CO104" s="13" t="s">
        <v>12</v>
      </c>
    </row>
    <row r="105" spans="1:99" x14ac:dyDescent="0.25">
      <c r="A105" s="1">
        <v>105</v>
      </c>
      <c r="B105" s="1">
        <v>103</v>
      </c>
      <c r="C105" s="2" t="s">
        <v>131</v>
      </c>
      <c r="D105" s="3" t="s">
        <v>27</v>
      </c>
      <c r="E105" s="1" t="str">
        <f>D105</f>
        <v>f</v>
      </c>
      <c r="F105" s="1" t="str">
        <f t="shared" si="66"/>
        <v>A</v>
      </c>
      <c r="G105" s="1" t="str">
        <f t="shared" si="67"/>
        <v>B</v>
      </c>
      <c r="H105" s="1">
        <v>1</v>
      </c>
      <c r="I105" s="1">
        <v>0</v>
      </c>
      <c r="J105" s="8" t="s">
        <v>278</v>
      </c>
      <c r="K105" s="8">
        <v>5</v>
      </c>
      <c r="L105" s="8">
        <v>3</v>
      </c>
      <c r="M105" s="8">
        <v>16</v>
      </c>
      <c r="N105" s="8">
        <v>14.2</v>
      </c>
      <c r="O105" s="8">
        <v>1</v>
      </c>
      <c r="P105" s="1" t="s">
        <v>8</v>
      </c>
      <c r="Q105" s="3">
        <v>45665</v>
      </c>
      <c r="R105" s="3">
        <v>45666</v>
      </c>
      <c r="S105" s="3">
        <v>45656</v>
      </c>
      <c r="T105" s="3">
        <v>45657</v>
      </c>
      <c r="U105" s="1">
        <f t="shared" si="68"/>
        <v>9</v>
      </c>
      <c r="V105" s="3">
        <v>45685</v>
      </c>
      <c r="W105" s="1">
        <f>_xlfn.DAYS(V105,R105)</f>
        <v>19</v>
      </c>
      <c r="X105" s="3">
        <v>45690</v>
      </c>
      <c r="Y105" s="1">
        <f>_xlfn.DAYS(X105,R105)</f>
        <v>24</v>
      </c>
      <c r="Z105" s="1">
        <f>_xlfn.DAYS(BK105,X105)</f>
        <v>7</v>
      </c>
      <c r="AB105" s="3">
        <v>45703</v>
      </c>
      <c r="AD105" s="11" t="s">
        <v>86</v>
      </c>
      <c r="AE105" s="11">
        <v>45697</v>
      </c>
      <c r="AF105" s="1">
        <f t="shared" si="57"/>
        <v>31</v>
      </c>
      <c r="AG105" s="8">
        <v>0</v>
      </c>
      <c r="AH105" s="5">
        <v>0.66600000000000004</v>
      </c>
      <c r="AI105" s="1">
        <v>1</v>
      </c>
      <c r="AJ105" s="3">
        <v>45670</v>
      </c>
      <c r="AK105" s="5">
        <f>AL105-AH105</f>
        <v>6.907</v>
      </c>
      <c r="AL105" s="5">
        <v>7.5730000000000004</v>
      </c>
      <c r="AM105" s="1">
        <v>1</v>
      </c>
      <c r="AN105" s="3">
        <f>V105+1</f>
        <v>45686</v>
      </c>
      <c r="AO105" s="1">
        <v>7.3449999999999998</v>
      </c>
      <c r="AP105" s="8">
        <v>2</v>
      </c>
      <c r="AQ105" s="3">
        <f>X105+1</f>
        <v>45691</v>
      </c>
      <c r="AR105" s="5">
        <f>AO105-AH105</f>
        <v>6.6789999999999994</v>
      </c>
      <c r="AS105" s="1">
        <v>6</v>
      </c>
      <c r="AT105" s="1">
        <v>14</v>
      </c>
      <c r="AU105" s="1">
        <v>60</v>
      </c>
      <c r="AV105" s="1">
        <f t="shared" si="69"/>
        <v>80</v>
      </c>
      <c r="AW105" s="1">
        <v>27</v>
      </c>
      <c r="AX105" s="1">
        <v>156</v>
      </c>
      <c r="AY105" s="1">
        <v>282</v>
      </c>
      <c r="AZ105" s="1">
        <f>SUM(AW105+AX105+AY105)</f>
        <v>465</v>
      </c>
      <c r="BA105" s="1">
        <v>119</v>
      </c>
      <c r="BB105" s="1">
        <v>0</v>
      </c>
      <c r="BC105" s="1">
        <v>0</v>
      </c>
      <c r="BD105" s="1">
        <v>0</v>
      </c>
      <c r="BE105" s="1" t="s">
        <v>12</v>
      </c>
      <c r="BF105" s="1" t="s">
        <v>12</v>
      </c>
      <c r="BG105" s="1" t="s">
        <v>12</v>
      </c>
      <c r="BH105" s="1" t="s">
        <v>12</v>
      </c>
      <c r="BI105" s="1">
        <f>BA105+BB105+BC105+BD105</f>
        <v>119</v>
      </c>
      <c r="BJ105" s="1">
        <f>AV105+AZ105+BI105</f>
        <v>664</v>
      </c>
      <c r="BK105" s="3">
        <v>45697</v>
      </c>
      <c r="BL105" s="6"/>
      <c r="BM105" s="6" t="s">
        <v>132</v>
      </c>
      <c r="BN105" s="6" t="s">
        <v>216</v>
      </c>
      <c r="BO105" s="13">
        <v>54.23</v>
      </c>
      <c r="BP105" s="13">
        <v>5.37</v>
      </c>
      <c r="BQ105" s="1">
        <v>3</v>
      </c>
      <c r="BR105" s="1">
        <v>1</v>
      </c>
      <c r="BS105" s="1">
        <f>BQ105+BR105</f>
        <v>4</v>
      </c>
      <c r="BT105" s="1">
        <v>3</v>
      </c>
      <c r="BU105" s="1">
        <v>0</v>
      </c>
      <c r="BV105" s="1">
        <f>BT105+BU105</f>
        <v>3</v>
      </c>
      <c r="BW105" s="1">
        <v>6</v>
      </c>
      <c r="BX105" s="1">
        <v>0</v>
      </c>
      <c r="BY105" s="1">
        <f>BW105+BX105</f>
        <v>6</v>
      </c>
      <c r="BZ105" s="1">
        <v>5</v>
      </c>
      <c r="CA105" s="1">
        <v>0</v>
      </c>
      <c r="CB105" s="1">
        <f>BZ105+CA105</f>
        <v>5</v>
      </c>
      <c r="CC105" s="1">
        <f>BS105+BV105+BY105+CB105</f>
        <v>18</v>
      </c>
      <c r="CE105" s="7">
        <f>CC105+CD105</f>
        <v>18</v>
      </c>
      <c r="CF105" s="8">
        <v>1</v>
      </c>
      <c r="CG105" s="8">
        <v>0</v>
      </c>
      <c r="CH105" s="8">
        <v>3</v>
      </c>
      <c r="CI105" s="8">
        <v>0</v>
      </c>
      <c r="CJ105" s="8">
        <v>0</v>
      </c>
      <c r="CK105" s="8">
        <v>1</v>
      </c>
      <c r="CL105" s="8">
        <v>0</v>
      </c>
      <c r="CM105" s="8">
        <v>0</v>
      </c>
      <c r="CN105" s="1">
        <f>CF105+CG105+CH105+CI105+CJ105+CK105+CL105+CM105</f>
        <v>5</v>
      </c>
      <c r="CO105" s="1">
        <f>CN105/CE105</f>
        <v>0.27777777777777779</v>
      </c>
      <c r="CP105" s="8">
        <v>1.716</v>
      </c>
      <c r="CQ105" s="8">
        <v>3</v>
      </c>
      <c r="CR105" s="1">
        <f>CP105/CQ105</f>
        <v>0.57199999999999995</v>
      </c>
      <c r="CS105" s="1" t="s">
        <v>12</v>
      </c>
      <c r="CT105" s="8" t="s">
        <v>12</v>
      </c>
      <c r="CU105" s="1" t="s">
        <v>12</v>
      </c>
    </row>
    <row r="106" spans="1:99" x14ac:dyDescent="0.25">
      <c r="A106" s="1">
        <v>106</v>
      </c>
      <c r="B106" s="1">
        <v>104</v>
      </c>
      <c r="C106" s="2" t="s">
        <v>60</v>
      </c>
      <c r="D106" s="3" t="s">
        <v>10</v>
      </c>
      <c r="E106" s="1" t="str">
        <f>D106</f>
        <v>m</v>
      </c>
      <c r="F106" s="1" t="str">
        <f t="shared" si="66"/>
        <v>C</v>
      </c>
      <c r="G106" s="1" t="str">
        <f t="shared" si="67"/>
        <v>A</v>
      </c>
      <c r="H106" s="1">
        <v>0</v>
      </c>
      <c r="I106" s="1">
        <v>0</v>
      </c>
      <c r="J106" s="8" t="s">
        <v>278</v>
      </c>
      <c r="K106" s="8">
        <v>5</v>
      </c>
      <c r="L106" s="8">
        <v>3</v>
      </c>
      <c r="M106" s="8">
        <v>17</v>
      </c>
      <c r="N106" s="1">
        <v>14.2</v>
      </c>
      <c r="O106" s="8">
        <v>1</v>
      </c>
      <c r="P106" s="1" t="s">
        <v>8</v>
      </c>
      <c r="Q106" s="3">
        <v>45665</v>
      </c>
      <c r="R106" s="3">
        <v>45666</v>
      </c>
      <c r="S106" s="3">
        <v>45656</v>
      </c>
      <c r="T106" s="3">
        <v>45657</v>
      </c>
      <c r="U106" s="1">
        <f t="shared" si="68"/>
        <v>9</v>
      </c>
      <c r="V106" s="3">
        <v>45683</v>
      </c>
      <c r="W106" s="1">
        <f>_xlfn.DAYS(V106,R106)</f>
        <v>17</v>
      </c>
      <c r="X106" s="3">
        <v>45688</v>
      </c>
      <c r="Y106" s="1">
        <f>_xlfn.DAYS(X106,R106)</f>
        <v>22</v>
      </c>
      <c r="Z106" s="1">
        <f>_xlfn.DAYS(BK106,X106)</f>
        <v>7</v>
      </c>
      <c r="AB106" s="3">
        <v>45697</v>
      </c>
      <c r="AD106" s="11" t="s">
        <v>86</v>
      </c>
      <c r="AE106" s="11">
        <v>45697</v>
      </c>
      <c r="AF106" s="1">
        <f t="shared" si="57"/>
        <v>31</v>
      </c>
      <c r="AG106" s="8">
        <v>0</v>
      </c>
      <c r="AH106" s="5">
        <v>0.83599999999999997</v>
      </c>
      <c r="AI106" s="1">
        <v>1</v>
      </c>
      <c r="AJ106" s="3">
        <v>45670</v>
      </c>
      <c r="AK106" s="5">
        <f>AL106-AH106</f>
        <v>6.532</v>
      </c>
      <c r="AL106" s="5">
        <v>7.3680000000000003</v>
      </c>
      <c r="AM106" s="1">
        <v>2</v>
      </c>
      <c r="AN106" s="3">
        <f>V106+1</f>
        <v>45684</v>
      </c>
      <c r="AO106" s="1">
        <v>6.516</v>
      </c>
      <c r="AP106" s="8">
        <v>2</v>
      </c>
      <c r="AQ106" s="3">
        <f>X106+1</f>
        <v>45689</v>
      </c>
      <c r="AR106" s="5">
        <f>AO106-AH106</f>
        <v>5.68</v>
      </c>
      <c r="AS106" s="1">
        <v>9</v>
      </c>
      <c r="AT106" s="1">
        <v>24</v>
      </c>
      <c r="AU106" s="1">
        <v>61</v>
      </c>
      <c r="AV106" s="1">
        <f t="shared" si="69"/>
        <v>94</v>
      </c>
      <c r="AW106" s="1">
        <v>65</v>
      </c>
      <c r="AX106" s="1">
        <v>267</v>
      </c>
      <c r="AY106" s="1">
        <v>261</v>
      </c>
      <c r="AZ106" s="1">
        <f>SUM(AW106+AX106+AY106)</f>
        <v>593</v>
      </c>
      <c r="BA106" s="1">
        <v>3</v>
      </c>
      <c r="BB106" s="1">
        <v>0</v>
      </c>
      <c r="BC106" s="1">
        <v>0</v>
      </c>
      <c r="BD106" s="1" t="s">
        <v>12</v>
      </c>
      <c r="BE106" s="1" t="s">
        <v>12</v>
      </c>
      <c r="BF106" s="1" t="s">
        <v>12</v>
      </c>
      <c r="BG106" s="1" t="s">
        <v>12</v>
      </c>
      <c r="BH106" s="1" t="s">
        <v>12</v>
      </c>
      <c r="BI106" s="1">
        <f>BA106+BB106+BC106</f>
        <v>3</v>
      </c>
      <c r="BJ106" s="1">
        <f>AV106+AZ106+BI106</f>
        <v>690</v>
      </c>
      <c r="BK106" s="3">
        <v>45695</v>
      </c>
      <c r="BL106" s="6" t="s">
        <v>59</v>
      </c>
      <c r="BM106" s="6"/>
      <c r="BN106" s="6" t="s">
        <v>193</v>
      </c>
      <c r="BO106" s="13">
        <v>0</v>
      </c>
      <c r="BP106" s="13">
        <v>60</v>
      </c>
      <c r="BQ106" s="1">
        <v>13</v>
      </c>
      <c r="BR106" s="1">
        <v>0</v>
      </c>
      <c r="BS106" s="1">
        <f>BQ106+BR106</f>
        <v>13</v>
      </c>
      <c r="BT106" s="1">
        <v>10</v>
      </c>
      <c r="BU106" s="1">
        <v>2</v>
      </c>
      <c r="BV106" s="1">
        <f>BT106+BU106</f>
        <v>12</v>
      </c>
      <c r="BW106" s="1">
        <v>11</v>
      </c>
      <c r="BX106" s="1">
        <v>0</v>
      </c>
      <c r="BY106" s="1">
        <f>BW106+BX106</f>
        <v>11</v>
      </c>
      <c r="BZ106" s="1">
        <v>14</v>
      </c>
      <c r="CA106" s="1">
        <v>0</v>
      </c>
      <c r="CB106" s="1">
        <f>BZ106+CA106</f>
        <v>14</v>
      </c>
      <c r="CC106" s="1">
        <f>BS106+BV106+BY106+CB106</f>
        <v>50</v>
      </c>
      <c r="CE106" s="7">
        <f>CC106+CD106</f>
        <v>50</v>
      </c>
      <c r="CF106" s="8">
        <v>7</v>
      </c>
      <c r="CG106" s="8">
        <v>12</v>
      </c>
      <c r="CH106" s="8">
        <v>12</v>
      </c>
      <c r="CI106" s="8">
        <v>13</v>
      </c>
      <c r="CJ106" s="8">
        <v>2</v>
      </c>
      <c r="CK106" s="8">
        <v>0</v>
      </c>
      <c r="CL106" s="8">
        <v>0</v>
      </c>
      <c r="CM106" s="8">
        <v>0</v>
      </c>
      <c r="CN106" s="1">
        <f>CF106+CG106+CH106+CI106+CJ106+CK106+CL106+CM106</f>
        <v>46</v>
      </c>
      <c r="CO106" s="1">
        <f>CN106/CE106</f>
        <v>0.92</v>
      </c>
      <c r="CP106" s="8">
        <v>5.5149999999999997</v>
      </c>
      <c r="CQ106" s="8">
        <v>5</v>
      </c>
      <c r="CR106" s="1">
        <f>CP106/CQ106</f>
        <v>1.103</v>
      </c>
      <c r="CS106" s="1">
        <v>2.2320000000000002</v>
      </c>
      <c r="CT106" s="8">
        <v>4</v>
      </c>
      <c r="CU106" s="1">
        <f>CS106/CT106</f>
        <v>0.55800000000000005</v>
      </c>
    </row>
    <row r="107" spans="1:99" x14ac:dyDescent="0.25">
      <c r="A107" s="1">
        <v>107</v>
      </c>
      <c r="B107" s="1">
        <v>105</v>
      </c>
      <c r="C107" s="2" t="s">
        <v>133</v>
      </c>
      <c r="D107" s="1" t="s">
        <v>280</v>
      </c>
      <c r="E107" s="1" t="s">
        <v>12</v>
      </c>
      <c r="F107" s="1" t="str">
        <f t="shared" si="66"/>
        <v>I</v>
      </c>
      <c r="G107" s="1" t="str">
        <f t="shared" si="67"/>
        <v>C</v>
      </c>
      <c r="H107" s="1">
        <v>0</v>
      </c>
      <c r="I107" s="1">
        <v>1</v>
      </c>
      <c r="J107" s="8" t="s">
        <v>278</v>
      </c>
      <c r="K107" s="8">
        <v>5</v>
      </c>
      <c r="L107" s="8">
        <v>3</v>
      </c>
      <c r="M107" s="8">
        <v>17</v>
      </c>
      <c r="N107" s="8">
        <v>15.2</v>
      </c>
      <c r="O107" s="8"/>
      <c r="P107" s="1" t="s">
        <v>8</v>
      </c>
      <c r="Q107" s="3">
        <v>45665</v>
      </c>
      <c r="R107" s="3">
        <v>45666</v>
      </c>
      <c r="S107" s="3">
        <v>45656</v>
      </c>
      <c r="T107" s="3">
        <v>45657</v>
      </c>
      <c r="U107" s="1">
        <f t="shared" si="68"/>
        <v>9</v>
      </c>
      <c r="V107" s="1" t="s">
        <v>12</v>
      </c>
      <c r="W107" s="1" t="s">
        <v>12</v>
      </c>
      <c r="X107" s="1" t="s">
        <v>12</v>
      </c>
      <c r="Y107" s="1" t="s">
        <v>12</v>
      </c>
      <c r="AA107" s="3">
        <v>45674</v>
      </c>
      <c r="AE107" s="11">
        <f>AA107</f>
        <v>45674</v>
      </c>
      <c r="AF107" s="1">
        <f t="shared" si="57"/>
        <v>8</v>
      </c>
      <c r="AG107" s="1">
        <v>1</v>
      </c>
      <c r="AH107" s="5">
        <v>0.29399999999999998</v>
      </c>
      <c r="AI107" s="1">
        <v>1</v>
      </c>
      <c r="AJ107" s="3">
        <v>45670</v>
      </c>
      <c r="AK107" s="5" t="s">
        <v>12</v>
      </c>
      <c r="AL107" s="5" t="s">
        <v>12</v>
      </c>
      <c r="AM107" s="1" t="s">
        <v>12</v>
      </c>
      <c r="AN107" s="3" t="s">
        <v>12</v>
      </c>
      <c r="AO107" s="1" t="s">
        <v>12</v>
      </c>
      <c r="AP107" s="5" t="s">
        <v>12</v>
      </c>
      <c r="AQ107" s="3" t="s">
        <v>12</v>
      </c>
      <c r="AR107" s="1" t="s">
        <v>12</v>
      </c>
      <c r="AS107" s="1">
        <v>4</v>
      </c>
      <c r="AT107" s="1">
        <v>13</v>
      </c>
      <c r="AU107" s="1">
        <v>5</v>
      </c>
      <c r="AV107" s="1">
        <f t="shared" si="69"/>
        <v>22</v>
      </c>
      <c r="AW107" s="1">
        <v>0</v>
      </c>
      <c r="AX107" s="1" t="s">
        <v>12</v>
      </c>
      <c r="AY107" s="1" t="s">
        <v>12</v>
      </c>
      <c r="AZ107" s="1">
        <f>AW107</f>
        <v>0</v>
      </c>
      <c r="BA107" s="1" t="s">
        <v>12</v>
      </c>
      <c r="BB107" s="1" t="s">
        <v>12</v>
      </c>
      <c r="BC107" s="1" t="s">
        <v>12</v>
      </c>
      <c r="BD107" s="1" t="s">
        <v>12</v>
      </c>
      <c r="BE107" s="1" t="s">
        <v>12</v>
      </c>
      <c r="BF107" s="1" t="s">
        <v>12</v>
      </c>
      <c r="BG107" s="1" t="s">
        <v>12</v>
      </c>
      <c r="BH107" s="1" t="s">
        <v>12</v>
      </c>
      <c r="BI107" s="1" t="s">
        <v>12</v>
      </c>
      <c r="BJ107" s="1" t="s">
        <v>12</v>
      </c>
      <c r="BK107" s="3" t="s">
        <v>12</v>
      </c>
      <c r="BL107" s="10" t="s">
        <v>12</v>
      </c>
      <c r="BM107" s="10" t="s">
        <v>12</v>
      </c>
      <c r="BN107" s="14" t="s">
        <v>12</v>
      </c>
      <c r="BO107" s="13" t="s">
        <v>12</v>
      </c>
      <c r="BP107" s="13" t="s">
        <v>12</v>
      </c>
      <c r="BQ107" s="13" t="s">
        <v>12</v>
      </c>
      <c r="BR107" s="13" t="s">
        <v>12</v>
      </c>
      <c r="BS107" s="13" t="s">
        <v>12</v>
      </c>
      <c r="BT107" s="13" t="s">
        <v>12</v>
      </c>
      <c r="BU107" s="13" t="s">
        <v>12</v>
      </c>
      <c r="BV107" s="13" t="s">
        <v>12</v>
      </c>
      <c r="BW107" s="13" t="s">
        <v>12</v>
      </c>
      <c r="BX107" s="13" t="s">
        <v>12</v>
      </c>
      <c r="BY107" s="13" t="s">
        <v>12</v>
      </c>
      <c r="BZ107" s="13" t="s">
        <v>12</v>
      </c>
      <c r="CA107" s="13" t="s">
        <v>12</v>
      </c>
      <c r="CB107" s="13" t="s">
        <v>12</v>
      </c>
      <c r="CC107" s="13" t="s">
        <v>12</v>
      </c>
      <c r="CD107" s="13"/>
      <c r="CE107" s="13" t="s">
        <v>12</v>
      </c>
      <c r="CF107" s="13" t="s">
        <v>12</v>
      </c>
      <c r="CG107" s="13" t="s">
        <v>12</v>
      </c>
      <c r="CH107" s="13" t="s">
        <v>12</v>
      </c>
      <c r="CI107" s="13" t="s">
        <v>12</v>
      </c>
      <c r="CJ107" s="13" t="s">
        <v>12</v>
      </c>
      <c r="CK107" s="13" t="s">
        <v>12</v>
      </c>
      <c r="CL107" s="13" t="s">
        <v>12</v>
      </c>
      <c r="CM107" s="13" t="s">
        <v>12</v>
      </c>
      <c r="CN107" s="13" t="s">
        <v>12</v>
      </c>
      <c r="CO107" s="13" t="s">
        <v>12</v>
      </c>
    </row>
    <row r="108" spans="1:99" x14ac:dyDescent="0.25">
      <c r="A108" s="1">
        <v>108</v>
      </c>
      <c r="B108" s="1">
        <v>106</v>
      </c>
      <c r="C108" s="2" t="s">
        <v>33</v>
      </c>
      <c r="D108" s="3" t="s">
        <v>27</v>
      </c>
      <c r="E108" s="1" t="str">
        <f>D108</f>
        <v>f</v>
      </c>
      <c r="F108" s="1" t="str">
        <f t="shared" si="66"/>
        <v>A</v>
      </c>
      <c r="G108" s="1" t="str">
        <f t="shared" si="67"/>
        <v>B</v>
      </c>
      <c r="H108" s="1">
        <v>1</v>
      </c>
      <c r="I108" s="1">
        <v>0</v>
      </c>
      <c r="J108" s="8" t="s">
        <v>278</v>
      </c>
      <c r="K108" s="8">
        <v>5</v>
      </c>
      <c r="L108" s="8">
        <v>3</v>
      </c>
      <c r="M108" s="8">
        <v>17</v>
      </c>
      <c r="N108" s="8">
        <v>16.2</v>
      </c>
      <c r="O108" s="8">
        <v>1</v>
      </c>
      <c r="P108" s="1" t="s">
        <v>8</v>
      </c>
      <c r="Q108" s="3">
        <v>45665</v>
      </c>
      <c r="R108" s="3">
        <v>45666</v>
      </c>
      <c r="S108" s="3">
        <v>45656</v>
      </c>
      <c r="T108" s="3">
        <v>45657</v>
      </c>
      <c r="U108" s="1">
        <f t="shared" si="68"/>
        <v>9</v>
      </c>
      <c r="V108" s="3">
        <v>45685</v>
      </c>
      <c r="W108" s="1">
        <f>_xlfn.DAYS(V108,R108)</f>
        <v>19</v>
      </c>
      <c r="X108" s="3">
        <v>45690</v>
      </c>
      <c r="Y108" s="1">
        <f>_xlfn.DAYS(X108,R108)</f>
        <v>24</v>
      </c>
      <c r="Z108" s="1">
        <f>_xlfn.DAYS(BK108,X108)</f>
        <v>7</v>
      </c>
      <c r="AB108" s="3">
        <v>45703</v>
      </c>
      <c r="AD108" s="11" t="s">
        <v>86</v>
      </c>
      <c r="AE108" s="11">
        <v>45697</v>
      </c>
      <c r="AF108" s="1">
        <f t="shared" si="57"/>
        <v>31</v>
      </c>
      <c r="AG108" s="8">
        <v>0</v>
      </c>
      <c r="AH108" s="5">
        <v>0.55800000000000005</v>
      </c>
      <c r="AI108" s="1">
        <v>1</v>
      </c>
      <c r="AJ108" s="3">
        <v>45670</v>
      </c>
      <c r="AK108" s="5">
        <f>AL108-AH108</f>
        <v>7.9529999999999994</v>
      </c>
      <c r="AL108" s="5">
        <v>8.5109999999999992</v>
      </c>
      <c r="AM108" s="1">
        <v>1</v>
      </c>
      <c r="AN108" s="3">
        <f>V108+1</f>
        <v>45686</v>
      </c>
      <c r="AO108" s="1">
        <v>7.4790000000000001</v>
      </c>
      <c r="AP108" s="8">
        <v>2</v>
      </c>
      <c r="AQ108" s="3">
        <f>X108+1</f>
        <v>45691</v>
      </c>
      <c r="AR108" s="5">
        <f>AO108-AH108</f>
        <v>6.9210000000000003</v>
      </c>
      <c r="AS108" s="1">
        <v>9</v>
      </c>
      <c r="AT108" s="1">
        <v>24</v>
      </c>
      <c r="AU108" s="1">
        <v>49</v>
      </c>
      <c r="AV108" s="1">
        <f t="shared" si="69"/>
        <v>82</v>
      </c>
      <c r="AW108" s="1">
        <v>41</v>
      </c>
      <c r="AX108" s="1">
        <v>95</v>
      </c>
      <c r="AY108" s="1">
        <v>248</v>
      </c>
      <c r="AZ108" s="1">
        <f>SUM(AW108+AX108+AY108)</f>
        <v>384</v>
      </c>
      <c r="BA108" s="1">
        <v>284</v>
      </c>
      <c r="BB108" s="1">
        <v>2</v>
      </c>
      <c r="BC108" s="1">
        <v>0</v>
      </c>
      <c r="BD108" s="1">
        <v>0</v>
      </c>
      <c r="BE108" s="1" t="s">
        <v>12</v>
      </c>
      <c r="BF108" s="1" t="s">
        <v>12</v>
      </c>
      <c r="BG108" s="1" t="s">
        <v>12</v>
      </c>
      <c r="BH108" s="1" t="s">
        <v>12</v>
      </c>
      <c r="BI108" s="1">
        <f>BA108+BB108+BC108+BD108</f>
        <v>286</v>
      </c>
      <c r="BJ108" s="1">
        <f>AV108+AZ108+BI108</f>
        <v>752</v>
      </c>
      <c r="BK108" s="3">
        <v>45697</v>
      </c>
      <c r="BL108" s="6"/>
      <c r="BM108" s="6" t="s">
        <v>32</v>
      </c>
      <c r="BN108" s="6" t="s">
        <v>212</v>
      </c>
      <c r="BO108" s="13">
        <v>54.5</v>
      </c>
      <c r="BP108" s="13">
        <v>5.0999999999999996</v>
      </c>
      <c r="BQ108" s="1">
        <v>1</v>
      </c>
      <c r="BR108" s="1">
        <v>0</v>
      </c>
      <c r="BS108" s="1">
        <f>BQ108+BR108</f>
        <v>1</v>
      </c>
      <c r="BT108" s="1">
        <v>9</v>
      </c>
      <c r="BU108" s="1">
        <v>0</v>
      </c>
      <c r="BV108" s="1">
        <f>BT108+BU108</f>
        <v>9</v>
      </c>
      <c r="BW108" s="1">
        <v>6</v>
      </c>
      <c r="BX108" s="1">
        <v>0</v>
      </c>
      <c r="BY108" s="1">
        <f>BW108+BX108</f>
        <v>6</v>
      </c>
      <c r="BZ108" s="1">
        <v>9</v>
      </c>
      <c r="CA108" s="1">
        <v>2</v>
      </c>
      <c r="CB108" s="1">
        <f>BZ108+CA108</f>
        <v>11</v>
      </c>
      <c r="CC108" s="1">
        <f>BS108+BV108+BY108+CB108</f>
        <v>27</v>
      </c>
      <c r="CE108" s="7">
        <f>CC108+CD108</f>
        <v>27</v>
      </c>
      <c r="CF108" s="8">
        <v>0</v>
      </c>
      <c r="CG108" s="8">
        <v>3</v>
      </c>
      <c r="CH108" s="8">
        <v>1</v>
      </c>
      <c r="CI108" s="8">
        <v>2</v>
      </c>
      <c r="CJ108" s="8">
        <v>1</v>
      </c>
      <c r="CK108" s="8">
        <v>0</v>
      </c>
      <c r="CL108" s="8">
        <v>0</v>
      </c>
      <c r="CM108" s="8">
        <v>0</v>
      </c>
      <c r="CN108" s="1">
        <f>CF108+CG108+CH108+CI108+CJ108+CK108+CL108+CM108</f>
        <v>7</v>
      </c>
      <c r="CO108" s="1">
        <f>CN108/CE108</f>
        <v>0.25925925925925924</v>
      </c>
      <c r="CP108" s="8">
        <v>0.61399999999999999</v>
      </c>
      <c r="CQ108" s="8">
        <v>1</v>
      </c>
      <c r="CR108" s="1">
        <f>CP108/CQ108</f>
        <v>0.61399999999999999</v>
      </c>
      <c r="CS108" s="1">
        <v>2.915</v>
      </c>
      <c r="CT108" s="8">
        <v>2</v>
      </c>
      <c r="CU108" s="1">
        <f>CS108/CT108</f>
        <v>1.4575</v>
      </c>
    </row>
    <row r="109" spans="1:99" x14ac:dyDescent="0.25">
      <c r="A109" s="1">
        <v>109</v>
      </c>
      <c r="B109" s="1">
        <v>107</v>
      </c>
      <c r="C109" s="2" t="s">
        <v>134</v>
      </c>
      <c r="D109" s="3" t="s">
        <v>10</v>
      </c>
      <c r="E109" s="1" t="str">
        <f>D109</f>
        <v>m</v>
      </c>
      <c r="F109" s="1" t="str">
        <f t="shared" si="66"/>
        <v>M</v>
      </c>
      <c r="G109" s="1" t="str">
        <f t="shared" si="67"/>
        <v>D</v>
      </c>
      <c r="H109" s="1">
        <v>1</v>
      </c>
      <c r="I109" s="1">
        <v>1</v>
      </c>
      <c r="J109" s="8" t="s">
        <v>276</v>
      </c>
      <c r="K109" s="8">
        <v>5</v>
      </c>
      <c r="L109" s="8">
        <v>3</v>
      </c>
      <c r="M109" s="8">
        <v>17</v>
      </c>
      <c r="N109" s="8">
        <v>17.2</v>
      </c>
      <c r="O109" s="8">
        <v>1</v>
      </c>
      <c r="P109" s="1" t="s">
        <v>8</v>
      </c>
      <c r="Q109" s="3">
        <v>45665</v>
      </c>
      <c r="R109" s="3">
        <v>45666</v>
      </c>
      <c r="S109" s="3">
        <v>45656</v>
      </c>
      <c r="T109" s="3">
        <v>45657</v>
      </c>
      <c r="U109" s="1">
        <f t="shared" si="68"/>
        <v>9</v>
      </c>
      <c r="V109" s="3">
        <v>45686</v>
      </c>
      <c r="W109" s="1">
        <f>_xlfn.DAYS(V109,R109)</f>
        <v>20</v>
      </c>
      <c r="X109" s="3">
        <v>45691</v>
      </c>
      <c r="Y109" s="1">
        <f>_xlfn.DAYS(X109,R109)</f>
        <v>25</v>
      </c>
      <c r="AB109" s="3">
        <v>45700</v>
      </c>
      <c r="AD109" s="11" t="s">
        <v>86</v>
      </c>
      <c r="AE109" s="11">
        <v>45697</v>
      </c>
      <c r="AF109" s="1">
        <f t="shared" si="57"/>
        <v>31</v>
      </c>
      <c r="AG109" s="8">
        <v>0</v>
      </c>
      <c r="AH109" s="5">
        <v>0.60699999999999998</v>
      </c>
      <c r="AI109" s="1">
        <v>1</v>
      </c>
      <c r="AJ109" s="3">
        <v>45670</v>
      </c>
      <c r="AK109" s="5">
        <f>AL109-AH109</f>
        <v>6.5869999999999997</v>
      </c>
      <c r="AL109" s="5">
        <v>7.194</v>
      </c>
      <c r="AM109" s="1">
        <v>2</v>
      </c>
      <c r="AN109" s="3">
        <f>V109+1</f>
        <v>45687</v>
      </c>
      <c r="AO109" s="1">
        <v>6.431</v>
      </c>
      <c r="AP109" s="8">
        <v>2</v>
      </c>
      <c r="AQ109" s="3">
        <f>X109+1</f>
        <v>45692</v>
      </c>
      <c r="AR109" s="5">
        <f>AO109-AH109</f>
        <v>5.8239999999999998</v>
      </c>
      <c r="AS109" s="1">
        <v>7</v>
      </c>
      <c r="AT109" s="1">
        <v>10</v>
      </c>
      <c r="AU109" s="1">
        <v>63</v>
      </c>
      <c r="AV109" s="1">
        <f t="shared" si="69"/>
        <v>80</v>
      </c>
      <c r="AW109" s="1">
        <v>26</v>
      </c>
      <c r="AX109" s="1">
        <v>69</v>
      </c>
      <c r="AY109" s="1">
        <v>214</v>
      </c>
      <c r="AZ109" s="1">
        <f>SUM(AW109+AX109+AY109)</f>
        <v>309</v>
      </c>
      <c r="BA109" s="1">
        <v>252</v>
      </c>
      <c r="BB109" s="1">
        <v>58</v>
      </c>
      <c r="BC109" s="1">
        <v>0</v>
      </c>
      <c r="BD109" s="1">
        <v>0</v>
      </c>
      <c r="BE109" s="1" t="s">
        <v>12</v>
      </c>
      <c r="BF109" s="1" t="s">
        <v>12</v>
      </c>
      <c r="BG109" s="1" t="s">
        <v>12</v>
      </c>
      <c r="BH109" s="1" t="s">
        <v>12</v>
      </c>
      <c r="BI109" s="1">
        <f>BA109+BB109+BC109+BD109</f>
        <v>310</v>
      </c>
      <c r="BJ109" s="1">
        <f>AV109+AZ109+BI109</f>
        <v>699</v>
      </c>
      <c r="BK109" s="3" t="s">
        <v>12</v>
      </c>
      <c r="BL109" s="10" t="s">
        <v>12</v>
      </c>
      <c r="BM109" s="10" t="s">
        <v>12</v>
      </c>
      <c r="BN109" s="14" t="s">
        <v>12</v>
      </c>
      <c r="BO109" s="13" t="s">
        <v>12</v>
      </c>
      <c r="BP109" s="13" t="s">
        <v>12</v>
      </c>
      <c r="BQ109" s="13" t="s">
        <v>12</v>
      </c>
      <c r="BR109" s="13" t="s">
        <v>12</v>
      </c>
      <c r="BS109" s="13" t="s">
        <v>12</v>
      </c>
      <c r="BT109" s="13" t="s">
        <v>12</v>
      </c>
      <c r="BU109" s="13" t="s">
        <v>12</v>
      </c>
      <c r="BV109" s="13" t="s">
        <v>12</v>
      </c>
      <c r="BW109" s="13" t="s">
        <v>12</v>
      </c>
      <c r="BX109" s="13" t="s">
        <v>12</v>
      </c>
      <c r="BY109" s="13" t="s">
        <v>12</v>
      </c>
      <c r="BZ109" s="13" t="s">
        <v>12</v>
      </c>
      <c r="CA109" s="13" t="s">
        <v>12</v>
      </c>
      <c r="CB109" s="13" t="s">
        <v>12</v>
      </c>
      <c r="CC109" s="13" t="s">
        <v>12</v>
      </c>
      <c r="CD109" s="13"/>
      <c r="CE109" s="13" t="s">
        <v>12</v>
      </c>
      <c r="CF109" s="13" t="s">
        <v>12</v>
      </c>
      <c r="CG109" s="13" t="s">
        <v>12</v>
      </c>
      <c r="CH109" s="13" t="s">
        <v>12</v>
      </c>
      <c r="CI109" s="13" t="s">
        <v>12</v>
      </c>
      <c r="CJ109" s="13" t="s">
        <v>12</v>
      </c>
      <c r="CK109" s="13" t="s">
        <v>12</v>
      </c>
      <c r="CL109" s="13" t="s">
        <v>12</v>
      </c>
      <c r="CM109" s="13" t="s">
        <v>12</v>
      </c>
      <c r="CN109" s="13" t="s">
        <v>12</v>
      </c>
      <c r="CO109" s="13" t="s">
        <v>12</v>
      </c>
    </row>
    <row r="110" spans="1:99" x14ac:dyDescent="0.25">
      <c r="A110" s="1">
        <v>110</v>
      </c>
      <c r="B110" s="1">
        <v>108</v>
      </c>
      <c r="C110" s="2" t="s">
        <v>135</v>
      </c>
      <c r="D110" s="1" t="s">
        <v>280</v>
      </c>
      <c r="E110" s="1" t="s">
        <v>12</v>
      </c>
      <c r="F110" s="1" t="str">
        <f t="shared" si="66"/>
        <v>M</v>
      </c>
      <c r="G110" s="1" t="str">
        <f t="shared" si="67"/>
        <v>D</v>
      </c>
      <c r="H110" s="1">
        <v>1</v>
      </c>
      <c r="I110" s="1">
        <v>1</v>
      </c>
      <c r="J110" s="8" t="s">
        <v>276</v>
      </c>
      <c r="K110" s="8">
        <v>5</v>
      </c>
      <c r="L110" s="8">
        <v>3</v>
      </c>
      <c r="M110" s="8">
        <v>18</v>
      </c>
      <c r="N110" s="8">
        <v>17.2</v>
      </c>
      <c r="O110" s="8"/>
      <c r="P110" s="1" t="s">
        <v>8</v>
      </c>
      <c r="Q110" s="3">
        <v>45665</v>
      </c>
      <c r="R110" s="3">
        <v>45666</v>
      </c>
      <c r="S110" s="3">
        <v>45656</v>
      </c>
      <c r="T110" s="3">
        <v>45657</v>
      </c>
      <c r="U110" s="1">
        <f t="shared" si="68"/>
        <v>9</v>
      </c>
      <c r="V110" s="1" t="s">
        <v>12</v>
      </c>
      <c r="W110" s="1" t="s">
        <v>12</v>
      </c>
      <c r="X110" s="1" t="s">
        <v>12</v>
      </c>
      <c r="Y110" s="1" t="s">
        <v>12</v>
      </c>
      <c r="AA110" s="3">
        <v>45674</v>
      </c>
      <c r="AE110" s="11">
        <f>AA110</f>
        <v>45674</v>
      </c>
      <c r="AF110" s="1">
        <f t="shared" si="57"/>
        <v>8</v>
      </c>
      <c r="AG110" s="1">
        <v>1</v>
      </c>
      <c r="AH110" s="5">
        <v>0.72099999999999997</v>
      </c>
      <c r="AI110" s="1">
        <v>1</v>
      </c>
      <c r="AJ110" s="3">
        <v>45670</v>
      </c>
      <c r="AK110" s="5" t="s">
        <v>12</v>
      </c>
      <c r="AL110" s="5" t="s">
        <v>12</v>
      </c>
      <c r="AM110" s="1" t="s">
        <v>12</v>
      </c>
      <c r="AN110" s="3" t="s">
        <v>12</v>
      </c>
      <c r="AO110" s="1" t="s">
        <v>12</v>
      </c>
      <c r="AP110" s="5" t="s">
        <v>12</v>
      </c>
      <c r="AQ110" s="3" t="s">
        <v>12</v>
      </c>
      <c r="AR110" s="1" t="s">
        <v>12</v>
      </c>
      <c r="AS110" s="1">
        <v>10</v>
      </c>
      <c r="AT110" s="1">
        <v>18</v>
      </c>
      <c r="AU110" s="1">
        <v>30</v>
      </c>
      <c r="AV110" s="1">
        <f t="shared" si="69"/>
        <v>58</v>
      </c>
      <c r="AW110" s="1">
        <v>0</v>
      </c>
      <c r="AX110" s="1" t="s">
        <v>12</v>
      </c>
      <c r="AY110" s="1" t="s">
        <v>12</v>
      </c>
      <c r="AZ110" s="1">
        <f>AW110</f>
        <v>0</v>
      </c>
      <c r="BA110" s="1" t="s">
        <v>12</v>
      </c>
      <c r="BB110" s="1" t="s">
        <v>12</v>
      </c>
      <c r="BC110" s="1" t="s">
        <v>12</v>
      </c>
      <c r="BD110" s="1" t="s">
        <v>12</v>
      </c>
      <c r="BE110" s="1" t="s">
        <v>12</v>
      </c>
      <c r="BF110" s="1" t="s">
        <v>12</v>
      </c>
      <c r="BG110" s="1" t="s">
        <v>12</v>
      </c>
      <c r="BH110" s="1" t="s">
        <v>12</v>
      </c>
      <c r="BI110" s="1" t="s">
        <v>12</v>
      </c>
      <c r="BJ110" s="1" t="s">
        <v>12</v>
      </c>
      <c r="BK110" s="3" t="s">
        <v>12</v>
      </c>
      <c r="BL110" s="10" t="s">
        <v>12</v>
      </c>
      <c r="BM110" s="10" t="s">
        <v>12</v>
      </c>
      <c r="BN110" s="14" t="s">
        <v>12</v>
      </c>
      <c r="BO110" s="13" t="s">
        <v>12</v>
      </c>
      <c r="BP110" s="13" t="s">
        <v>12</v>
      </c>
      <c r="BQ110" s="13" t="s">
        <v>12</v>
      </c>
      <c r="BR110" s="13" t="s">
        <v>12</v>
      </c>
      <c r="BS110" s="13" t="s">
        <v>12</v>
      </c>
      <c r="BT110" s="13" t="s">
        <v>12</v>
      </c>
      <c r="BU110" s="13" t="s">
        <v>12</v>
      </c>
      <c r="BV110" s="13" t="s">
        <v>12</v>
      </c>
      <c r="BW110" s="13" t="s">
        <v>12</v>
      </c>
      <c r="BX110" s="13" t="s">
        <v>12</v>
      </c>
      <c r="BY110" s="13" t="s">
        <v>12</v>
      </c>
      <c r="BZ110" s="13" t="s">
        <v>12</v>
      </c>
      <c r="CA110" s="13" t="s">
        <v>12</v>
      </c>
      <c r="CB110" s="13" t="s">
        <v>12</v>
      </c>
      <c r="CC110" s="13" t="s">
        <v>12</v>
      </c>
      <c r="CD110" s="13"/>
      <c r="CE110" s="13" t="s">
        <v>12</v>
      </c>
      <c r="CF110" s="13" t="s">
        <v>12</v>
      </c>
      <c r="CG110" s="13" t="s">
        <v>12</v>
      </c>
      <c r="CH110" s="13" t="s">
        <v>12</v>
      </c>
      <c r="CI110" s="13" t="s">
        <v>12</v>
      </c>
      <c r="CJ110" s="13" t="s">
        <v>12</v>
      </c>
      <c r="CK110" s="13" t="s">
        <v>12</v>
      </c>
      <c r="CL110" s="13" t="s">
        <v>12</v>
      </c>
      <c r="CM110" s="13" t="s">
        <v>12</v>
      </c>
      <c r="CN110" s="13" t="s">
        <v>12</v>
      </c>
      <c r="CO110" s="13" t="s">
        <v>12</v>
      </c>
    </row>
    <row r="111" spans="1:99" x14ac:dyDescent="0.25">
      <c r="A111" s="1">
        <v>111</v>
      </c>
      <c r="B111" s="1">
        <v>109</v>
      </c>
      <c r="C111" s="2" t="s">
        <v>82</v>
      </c>
      <c r="D111" s="3" t="s">
        <v>27</v>
      </c>
      <c r="E111" s="1" t="str">
        <f>D111</f>
        <v>f</v>
      </c>
      <c r="F111" s="1" t="str">
        <f t="shared" si="66"/>
        <v>A</v>
      </c>
      <c r="G111" s="1" t="str">
        <f t="shared" si="67"/>
        <v>B</v>
      </c>
      <c r="H111" s="1">
        <v>1</v>
      </c>
      <c r="I111" s="1">
        <v>0</v>
      </c>
      <c r="J111" s="8" t="s">
        <v>278</v>
      </c>
      <c r="K111" s="8">
        <v>5</v>
      </c>
      <c r="L111" s="8">
        <v>3</v>
      </c>
      <c r="M111" s="8">
        <v>18</v>
      </c>
      <c r="N111" s="8">
        <v>16.2</v>
      </c>
      <c r="O111" s="8">
        <v>1</v>
      </c>
      <c r="P111" s="1" t="s">
        <v>8</v>
      </c>
      <c r="Q111" s="3">
        <v>45665</v>
      </c>
      <c r="R111" s="3">
        <v>45666</v>
      </c>
      <c r="S111" s="3">
        <v>45656</v>
      </c>
      <c r="T111" s="3">
        <v>45657</v>
      </c>
      <c r="U111" s="1">
        <f t="shared" si="68"/>
        <v>9</v>
      </c>
      <c r="V111" s="3">
        <v>45683</v>
      </c>
      <c r="W111" s="1">
        <f>_xlfn.DAYS(V111,R111)</f>
        <v>17</v>
      </c>
      <c r="X111" s="3">
        <v>45688</v>
      </c>
      <c r="Y111" s="1">
        <f>_xlfn.DAYS(X111,R111)</f>
        <v>22</v>
      </c>
      <c r="Z111" s="1">
        <f>_xlfn.DAYS(BK111,X111)</f>
        <v>7</v>
      </c>
      <c r="AB111" s="3">
        <v>45701</v>
      </c>
      <c r="AD111" s="11" t="s">
        <v>86</v>
      </c>
      <c r="AE111" s="11">
        <v>45697</v>
      </c>
      <c r="AF111" s="1">
        <f t="shared" si="57"/>
        <v>31</v>
      </c>
      <c r="AG111" s="8">
        <v>0</v>
      </c>
      <c r="AH111" s="5">
        <v>0.88800000000000001</v>
      </c>
      <c r="AI111" s="1">
        <v>1</v>
      </c>
      <c r="AJ111" s="3">
        <v>45670</v>
      </c>
      <c r="AK111" s="5">
        <f>AL111-AH111</f>
        <v>7.6850000000000005</v>
      </c>
      <c r="AL111" s="5">
        <v>8.5730000000000004</v>
      </c>
      <c r="AM111" s="1">
        <v>2</v>
      </c>
      <c r="AN111" s="3">
        <f>V111+1</f>
        <v>45684</v>
      </c>
      <c r="AO111" s="1">
        <v>8.1859999999999999</v>
      </c>
      <c r="AP111" s="8">
        <v>2</v>
      </c>
      <c r="AQ111" s="3">
        <f>X111+1</f>
        <v>45689</v>
      </c>
      <c r="AR111" s="5">
        <f>AO111-AH111</f>
        <v>7.298</v>
      </c>
      <c r="AS111" s="1">
        <v>8</v>
      </c>
      <c r="AT111" s="1">
        <v>20</v>
      </c>
      <c r="AU111" s="1">
        <v>81</v>
      </c>
      <c r="AV111" s="1">
        <f t="shared" si="69"/>
        <v>109</v>
      </c>
      <c r="AW111" s="1">
        <v>104</v>
      </c>
      <c r="AX111" s="1">
        <v>273</v>
      </c>
      <c r="AY111" s="1">
        <v>314</v>
      </c>
      <c r="AZ111" s="1">
        <f t="shared" ref="AZ111:AZ119" si="70">SUM(AW111+AX111+AY111)</f>
        <v>691</v>
      </c>
      <c r="BA111" s="1">
        <v>52</v>
      </c>
      <c r="BB111" s="1">
        <v>0</v>
      </c>
      <c r="BC111" s="1">
        <v>0</v>
      </c>
      <c r="BD111" s="1" t="s">
        <v>12</v>
      </c>
      <c r="BE111" s="1" t="s">
        <v>12</v>
      </c>
      <c r="BF111" s="1" t="s">
        <v>12</v>
      </c>
      <c r="BG111" s="1" t="s">
        <v>12</v>
      </c>
      <c r="BH111" s="1" t="s">
        <v>12</v>
      </c>
      <c r="BI111" s="1">
        <f t="shared" ref="BI111:BI116" si="71">BA111+BB111+BC111</f>
        <v>52</v>
      </c>
      <c r="BJ111" s="1">
        <f t="shared" ref="BJ111:BJ119" si="72">AV111+AZ111+BI111</f>
        <v>852</v>
      </c>
      <c r="BK111" s="3">
        <v>45695</v>
      </c>
      <c r="BL111" s="6"/>
      <c r="BM111" s="6" t="s">
        <v>81</v>
      </c>
      <c r="BN111" s="6" t="s">
        <v>195</v>
      </c>
      <c r="BO111" s="13">
        <v>0</v>
      </c>
      <c r="BP111" s="13">
        <v>60</v>
      </c>
      <c r="BQ111" s="1">
        <v>7</v>
      </c>
      <c r="BR111" s="1">
        <v>0</v>
      </c>
      <c r="BS111" s="1">
        <f>BQ111+BR111</f>
        <v>7</v>
      </c>
      <c r="BT111" s="1">
        <v>17</v>
      </c>
      <c r="BU111" s="1">
        <v>1</v>
      </c>
      <c r="BV111" s="1">
        <f>BT111+BU111</f>
        <v>18</v>
      </c>
      <c r="BW111" s="1">
        <v>12</v>
      </c>
      <c r="BX111" s="1">
        <v>0</v>
      </c>
      <c r="BY111" s="1">
        <f>BW111+BX111</f>
        <v>12</v>
      </c>
      <c r="BZ111" s="1">
        <v>11</v>
      </c>
      <c r="CA111" s="1">
        <v>0</v>
      </c>
      <c r="CB111" s="1">
        <f>BZ111+CA111</f>
        <v>11</v>
      </c>
      <c r="CC111" s="1">
        <f>BS111+BV111+BY111+CB111</f>
        <v>48</v>
      </c>
      <c r="CE111" s="7">
        <f>CC111+CD111</f>
        <v>48</v>
      </c>
      <c r="CF111" s="8">
        <v>3</v>
      </c>
      <c r="CG111" s="8">
        <v>12</v>
      </c>
      <c r="CH111" s="8">
        <v>14</v>
      </c>
      <c r="CI111" s="8">
        <v>15</v>
      </c>
      <c r="CJ111" s="8">
        <v>1</v>
      </c>
      <c r="CK111" s="8">
        <v>0</v>
      </c>
      <c r="CL111" s="8">
        <v>1</v>
      </c>
      <c r="CM111" s="8">
        <v>0</v>
      </c>
      <c r="CN111" s="1">
        <f>CF111+CG111+CH111+CI111+CJ111+CK111+CL111+CM111</f>
        <v>46</v>
      </c>
      <c r="CO111" s="1">
        <f>CN111/CE111</f>
        <v>0.95833333333333337</v>
      </c>
      <c r="CP111" s="8">
        <v>5.6310000000000002</v>
      </c>
      <c r="CQ111" s="8">
        <v>5</v>
      </c>
      <c r="CR111" s="1">
        <f>CP111/CQ111</f>
        <v>1.1262000000000001</v>
      </c>
      <c r="CS111" s="1">
        <v>6.2359999999999998</v>
      </c>
      <c r="CT111" s="8">
        <v>5</v>
      </c>
      <c r="CU111" s="1">
        <f>CS111/CT111</f>
        <v>1.2471999999999999</v>
      </c>
    </row>
    <row r="112" spans="1:99" x14ac:dyDescent="0.25">
      <c r="A112" s="1">
        <v>112</v>
      </c>
      <c r="B112" s="1">
        <v>110</v>
      </c>
      <c r="C112" s="2" t="s">
        <v>78</v>
      </c>
      <c r="D112" s="3" t="s">
        <v>27</v>
      </c>
      <c r="E112" s="1" t="str">
        <f>D112</f>
        <v>f</v>
      </c>
      <c r="F112" s="1" t="str">
        <f t="shared" si="66"/>
        <v>C</v>
      </c>
      <c r="G112" s="1" t="str">
        <f t="shared" si="67"/>
        <v>A</v>
      </c>
      <c r="H112" s="1">
        <v>0</v>
      </c>
      <c r="I112" s="1">
        <v>0</v>
      </c>
      <c r="J112" s="8" t="s">
        <v>278</v>
      </c>
      <c r="K112" s="8">
        <v>5</v>
      </c>
      <c r="L112" s="8">
        <v>3</v>
      </c>
      <c r="M112" s="8">
        <v>18</v>
      </c>
      <c r="N112" s="8">
        <v>15.2</v>
      </c>
      <c r="O112" s="8">
        <v>1</v>
      </c>
      <c r="P112" s="1" t="s">
        <v>8</v>
      </c>
      <c r="Q112" s="3">
        <v>45665</v>
      </c>
      <c r="R112" s="3">
        <v>45666</v>
      </c>
      <c r="S112" s="3">
        <v>45656</v>
      </c>
      <c r="T112" s="3">
        <v>45657</v>
      </c>
      <c r="U112" s="1">
        <f t="shared" si="68"/>
        <v>9</v>
      </c>
      <c r="V112" s="3">
        <v>45684</v>
      </c>
      <c r="W112" s="1">
        <f>_xlfn.DAYS(V112,R112)</f>
        <v>18</v>
      </c>
      <c r="X112" s="3">
        <v>45689</v>
      </c>
      <c r="Y112" s="1">
        <f>_xlfn.DAYS(X112,R112)</f>
        <v>23</v>
      </c>
      <c r="Z112" s="1">
        <f>_xlfn.DAYS(BK112,X112)</f>
        <v>7</v>
      </c>
      <c r="AB112" s="3">
        <v>45702</v>
      </c>
      <c r="AD112" s="11" t="s">
        <v>86</v>
      </c>
      <c r="AE112" s="11">
        <v>45697</v>
      </c>
      <c r="AF112" s="1">
        <f t="shared" si="57"/>
        <v>31</v>
      </c>
      <c r="AG112" s="8">
        <v>0</v>
      </c>
      <c r="AH112" s="5">
        <v>1.131</v>
      </c>
      <c r="AI112" s="1">
        <v>1</v>
      </c>
      <c r="AJ112" s="3">
        <v>45670</v>
      </c>
      <c r="AK112" s="5">
        <f>AL112-AH112</f>
        <v>6.9870000000000001</v>
      </c>
      <c r="AL112" s="5">
        <v>8.1180000000000003</v>
      </c>
      <c r="AM112" s="1">
        <v>1</v>
      </c>
      <c r="AN112" s="3">
        <f>V112+1</f>
        <v>45685</v>
      </c>
      <c r="AO112" s="1">
        <v>7.77</v>
      </c>
      <c r="AP112" s="8">
        <v>2</v>
      </c>
      <c r="AQ112" s="3">
        <f>X112+1</f>
        <v>45690</v>
      </c>
      <c r="AR112" s="5">
        <f>AO112-AH112</f>
        <v>6.6389999999999993</v>
      </c>
      <c r="AS112" s="1">
        <v>11</v>
      </c>
      <c r="AT112" s="1">
        <v>29</v>
      </c>
      <c r="AU112" s="1">
        <v>73</v>
      </c>
      <c r="AV112" s="1">
        <f t="shared" si="69"/>
        <v>113</v>
      </c>
      <c r="AW112" s="1">
        <v>66</v>
      </c>
      <c r="AX112" s="1">
        <v>122</v>
      </c>
      <c r="AY112" s="1">
        <v>274</v>
      </c>
      <c r="AZ112" s="1">
        <f t="shared" si="70"/>
        <v>462</v>
      </c>
      <c r="BA112" s="1">
        <v>110</v>
      </c>
      <c r="BB112" s="1">
        <v>2</v>
      </c>
      <c r="BC112" s="1">
        <v>0</v>
      </c>
      <c r="BD112" s="1" t="s">
        <v>12</v>
      </c>
      <c r="BE112" s="1" t="s">
        <v>12</v>
      </c>
      <c r="BF112" s="1" t="s">
        <v>12</v>
      </c>
      <c r="BG112" s="1" t="s">
        <v>12</v>
      </c>
      <c r="BH112" s="1" t="s">
        <v>12</v>
      </c>
      <c r="BI112" s="1">
        <f t="shared" si="71"/>
        <v>112</v>
      </c>
      <c r="BJ112" s="1">
        <f t="shared" si="72"/>
        <v>687</v>
      </c>
      <c r="BK112" s="3">
        <v>45696</v>
      </c>
      <c r="BL112" s="6"/>
      <c r="BM112" s="6" t="s">
        <v>77</v>
      </c>
      <c r="BN112" s="6" t="s">
        <v>206</v>
      </c>
      <c r="BO112" s="13">
        <v>55.08</v>
      </c>
      <c r="BP112" s="13">
        <v>4.5199999999999996</v>
      </c>
      <c r="BQ112" s="1">
        <v>11</v>
      </c>
      <c r="BR112" s="1">
        <v>1</v>
      </c>
      <c r="BS112" s="1">
        <f>BQ112+BR112</f>
        <v>12</v>
      </c>
      <c r="BT112" s="1">
        <v>14</v>
      </c>
      <c r="BU112" s="1">
        <v>0</v>
      </c>
      <c r="BV112" s="1">
        <f>BT112+BU112</f>
        <v>14</v>
      </c>
      <c r="BW112" s="1">
        <v>10</v>
      </c>
      <c r="BX112" s="1">
        <v>0</v>
      </c>
      <c r="BY112" s="1">
        <f>BW112+BX112</f>
        <v>10</v>
      </c>
      <c r="BZ112" s="1">
        <v>14</v>
      </c>
      <c r="CA112" s="1">
        <v>0</v>
      </c>
      <c r="CB112" s="1">
        <f>BZ112+CA112</f>
        <v>14</v>
      </c>
      <c r="CC112" s="1">
        <f>BS112+BV112+BY112+CB112</f>
        <v>50</v>
      </c>
      <c r="CE112" s="7">
        <f>CC112+CD112</f>
        <v>50</v>
      </c>
      <c r="CF112" s="8">
        <v>7</v>
      </c>
      <c r="CG112" s="8">
        <v>7</v>
      </c>
      <c r="CH112" s="8">
        <v>10</v>
      </c>
      <c r="CI112" s="8">
        <v>9</v>
      </c>
      <c r="CJ112" s="8">
        <v>7</v>
      </c>
      <c r="CK112" s="8">
        <v>0</v>
      </c>
      <c r="CL112" s="8">
        <v>1</v>
      </c>
      <c r="CM112" s="8">
        <v>0</v>
      </c>
      <c r="CN112" s="1">
        <f>CF112+CG112+CH112+CI112+CJ112+CK112+CL112+CM112</f>
        <v>41</v>
      </c>
      <c r="CO112" s="1">
        <f>CN112/CE112</f>
        <v>0.82</v>
      </c>
      <c r="CP112" s="8">
        <v>1.609</v>
      </c>
      <c r="CQ112" s="8">
        <v>4</v>
      </c>
      <c r="CR112" s="1">
        <f>CP112/CQ112</f>
        <v>0.40225</v>
      </c>
      <c r="CS112" s="1">
        <v>2.7610000000000001</v>
      </c>
      <c r="CT112" s="8">
        <v>5</v>
      </c>
      <c r="CU112" s="1">
        <f>CS112/CT112</f>
        <v>0.55220000000000002</v>
      </c>
    </row>
    <row r="113" spans="1:99" x14ac:dyDescent="0.25">
      <c r="A113" s="1">
        <v>113</v>
      </c>
      <c r="B113" s="1">
        <v>111</v>
      </c>
      <c r="C113" s="2" t="s">
        <v>136</v>
      </c>
      <c r="D113" s="3" t="s">
        <v>10</v>
      </c>
      <c r="E113" s="1" t="str">
        <f>D113</f>
        <v>m</v>
      </c>
      <c r="F113" s="1" t="str">
        <f t="shared" si="66"/>
        <v>I</v>
      </c>
      <c r="G113" s="1" t="str">
        <f t="shared" si="67"/>
        <v>C</v>
      </c>
      <c r="H113" s="1">
        <v>0</v>
      </c>
      <c r="I113" s="1">
        <v>1</v>
      </c>
      <c r="J113" s="8" t="s">
        <v>278</v>
      </c>
      <c r="K113" s="8">
        <v>5</v>
      </c>
      <c r="L113" s="8">
        <v>3</v>
      </c>
      <c r="M113" s="8">
        <v>18</v>
      </c>
      <c r="N113" s="8">
        <v>14.2</v>
      </c>
      <c r="O113" s="8">
        <v>1</v>
      </c>
      <c r="P113" s="1" t="s">
        <v>8</v>
      </c>
      <c r="Q113" s="3">
        <v>45665</v>
      </c>
      <c r="R113" s="3">
        <v>45666</v>
      </c>
      <c r="S113" s="3">
        <v>45656</v>
      </c>
      <c r="T113" s="3">
        <v>45657</v>
      </c>
      <c r="U113" s="1">
        <f t="shared" si="68"/>
        <v>9</v>
      </c>
      <c r="V113" s="3">
        <v>45684</v>
      </c>
      <c r="W113" s="1">
        <f>_xlfn.DAYS(V113,R113)</f>
        <v>18</v>
      </c>
      <c r="X113" s="3">
        <v>45689</v>
      </c>
      <c r="Y113" s="1">
        <f>_xlfn.DAYS(X113,R113)</f>
        <v>23</v>
      </c>
      <c r="AB113" s="3">
        <v>45698</v>
      </c>
      <c r="AD113" s="11" t="s">
        <v>86</v>
      </c>
      <c r="AE113" s="11">
        <v>45697</v>
      </c>
      <c r="AF113" s="1">
        <f t="shared" si="57"/>
        <v>31</v>
      </c>
      <c r="AG113" s="8">
        <v>0</v>
      </c>
      <c r="AH113" s="5">
        <v>1.2230000000000001</v>
      </c>
      <c r="AI113" s="1">
        <v>1</v>
      </c>
      <c r="AJ113" s="3">
        <v>45670</v>
      </c>
      <c r="AK113" s="5">
        <f>AL113-AH113</f>
        <v>6.6850000000000005</v>
      </c>
      <c r="AL113" s="5">
        <v>7.9080000000000004</v>
      </c>
      <c r="AM113" s="1">
        <v>1</v>
      </c>
      <c r="AN113" s="3">
        <f>V113+1</f>
        <v>45685</v>
      </c>
      <c r="AO113" s="1">
        <v>7.11</v>
      </c>
      <c r="AP113" s="8">
        <v>2</v>
      </c>
      <c r="AQ113" s="3">
        <f>X113+1</f>
        <v>45690</v>
      </c>
      <c r="AR113" s="5">
        <f>AO113-AH113</f>
        <v>5.8870000000000005</v>
      </c>
      <c r="AS113" s="1">
        <v>10</v>
      </c>
      <c r="AT113" s="1">
        <v>19</v>
      </c>
      <c r="AU113" s="1">
        <v>120</v>
      </c>
      <c r="AV113" s="1">
        <f t="shared" si="69"/>
        <v>149</v>
      </c>
      <c r="AW113" s="1">
        <v>84</v>
      </c>
      <c r="AX113" s="1">
        <v>119</v>
      </c>
      <c r="AY113" s="1">
        <v>340</v>
      </c>
      <c r="AZ113" s="1">
        <f t="shared" si="70"/>
        <v>543</v>
      </c>
      <c r="BA113" s="1">
        <v>121</v>
      </c>
      <c r="BB113" s="1">
        <v>0</v>
      </c>
      <c r="BC113" s="1">
        <v>0</v>
      </c>
      <c r="BD113" s="1" t="s">
        <v>12</v>
      </c>
      <c r="BE113" s="1" t="s">
        <v>12</v>
      </c>
      <c r="BF113" s="1" t="s">
        <v>12</v>
      </c>
      <c r="BG113" s="1" t="s">
        <v>12</v>
      </c>
      <c r="BH113" s="1" t="s">
        <v>12</v>
      </c>
      <c r="BI113" s="1">
        <f t="shared" si="71"/>
        <v>121</v>
      </c>
      <c r="BJ113" s="1">
        <f t="shared" si="72"/>
        <v>813</v>
      </c>
      <c r="BK113" s="3" t="s">
        <v>12</v>
      </c>
      <c r="BL113" s="10" t="s">
        <v>12</v>
      </c>
      <c r="BM113" s="10" t="s">
        <v>12</v>
      </c>
      <c r="BN113" s="14" t="s">
        <v>12</v>
      </c>
      <c r="BO113" s="13" t="s">
        <v>12</v>
      </c>
      <c r="BP113" s="13" t="s">
        <v>12</v>
      </c>
      <c r="BQ113" s="13" t="s">
        <v>12</v>
      </c>
      <c r="BR113" s="13" t="s">
        <v>12</v>
      </c>
      <c r="BS113" s="13" t="s">
        <v>12</v>
      </c>
      <c r="BT113" s="13" t="s">
        <v>12</v>
      </c>
      <c r="BU113" s="13" t="s">
        <v>12</v>
      </c>
      <c r="BV113" s="13" t="s">
        <v>12</v>
      </c>
      <c r="BW113" s="13" t="s">
        <v>12</v>
      </c>
      <c r="BX113" s="13" t="s">
        <v>12</v>
      </c>
      <c r="BY113" s="13" t="s">
        <v>12</v>
      </c>
      <c r="BZ113" s="13" t="s">
        <v>12</v>
      </c>
      <c r="CA113" s="13" t="s">
        <v>12</v>
      </c>
      <c r="CB113" s="13" t="s">
        <v>12</v>
      </c>
      <c r="CC113" s="13" t="s">
        <v>12</v>
      </c>
      <c r="CD113" s="13"/>
      <c r="CE113" s="13" t="s">
        <v>12</v>
      </c>
      <c r="CF113" s="13" t="s">
        <v>12</v>
      </c>
      <c r="CG113" s="13" t="s">
        <v>12</v>
      </c>
      <c r="CH113" s="13" t="s">
        <v>12</v>
      </c>
      <c r="CI113" s="13" t="s">
        <v>12</v>
      </c>
      <c r="CJ113" s="13" t="s">
        <v>12</v>
      </c>
      <c r="CK113" s="13" t="s">
        <v>12</v>
      </c>
      <c r="CL113" s="13" t="s">
        <v>12</v>
      </c>
      <c r="CM113" s="13" t="s">
        <v>12</v>
      </c>
      <c r="CN113" s="13" t="s">
        <v>12</v>
      </c>
      <c r="CO113" s="13" t="s">
        <v>12</v>
      </c>
    </row>
    <row r="114" spans="1:99" x14ac:dyDescent="0.25">
      <c r="A114" s="1">
        <v>114</v>
      </c>
      <c r="B114" s="1">
        <v>112</v>
      </c>
      <c r="C114" s="2" t="s">
        <v>137</v>
      </c>
      <c r="D114" s="1" t="s">
        <v>280</v>
      </c>
      <c r="E114" s="1" t="s">
        <v>12</v>
      </c>
      <c r="F114" s="1" t="str">
        <f t="shared" si="66"/>
        <v>M</v>
      </c>
      <c r="G114" s="1" t="str">
        <f t="shared" si="67"/>
        <v>D</v>
      </c>
      <c r="H114" s="1">
        <v>1</v>
      </c>
      <c r="I114" s="1">
        <v>1</v>
      </c>
      <c r="J114" s="8" t="s">
        <v>276</v>
      </c>
      <c r="K114" s="8">
        <v>5</v>
      </c>
      <c r="L114" s="8">
        <v>3</v>
      </c>
      <c r="M114" s="8">
        <v>19</v>
      </c>
      <c r="N114" s="1">
        <v>14.2</v>
      </c>
      <c r="P114" s="1" t="s">
        <v>8</v>
      </c>
      <c r="Q114" s="3">
        <v>45665</v>
      </c>
      <c r="R114" s="3">
        <v>45666</v>
      </c>
      <c r="S114" s="3">
        <v>45656</v>
      </c>
      <c r="T114" s="3">
        <v>45657</v>
      </c>
      <c r="U114" s="1">
        <f t="shared" si="68"/>
        <v>9</v>
      </c>
      <c r="V114" s="1" t="s">
        <v>12</v>
      </c>
      <c r="W114" s="1" t="s">
        <v>12</v>
      </c>
      <c r="X114" s="1" t="s">
        <v>12</v>
      </c>
      <c r="Y114" s="1" t="s">
        <v>12</v>
      </c>
      <c r="AA114" s="3">
        <v>45684</v>
      </c>
      <c r="AE114" s="11">
        <f>AA114</f>
        <v>45684</v>
      </c>
      <c r="AF114" s="1">
        <f t="shared" si="57"/>
        <v>18</v>
      </c>
      <c r="AG114" s="1">
        <v>1</v>
      </c>
      <c r="AH114" s="5">
        <v>0.59099999999999997</v>
      </c>
      <c r="AI114" s="1">
        <v>1</v>
      </c>
      <c r="AJ114" s="3">
        <v>45670</v>
      </c>
      <c r="AK114" s="5" t="s">
        <v>12</v>
      </c>
      <c r="AL114" s="5" t="s">
        <v>12</v>
      </c>
      <c r="AM114" s="1" t="s">
        <v>12</v>
      </c>
      <c r="AN114" s="3" t="s">
        <v>12</v>
      </c>
      <c r="AO114" s="1" t="s">
        <v>12</v>
      </c>
      <c r="AP114" s="5" t="s">
        <v>12</v>
      </c>
      <c r="AQ114" s="3" t="s">
        <v>12</v>
      </c>
      <c r="AR114" s="1" t="s">
        <v>12</v>
      </c>
      <c r="AS114" s="1">
        <v>11</v>
      </c>
      <c r="AT114" s="1">
        <v>23</v>
      </c>
      <c r="AU114" s="1">
        <v>29</v>
      </c>
      <c r="AV114" s="1">
        <f t="shared" si="69"/>
        <v>63</v>
      </c>
      <c r="AW114" s="1">
        <v>8</v>
      </c>
      <c r="AX114" s="1">
        <v>13</v>
      </c>
      <c r="AY114" s="1">
        <v>15</v>
      </c>
      <c r="AZ114" s="1">
        <f t="shared" si="70"/>
        <v>36</v>
      </c>
      <c r="BA114" s="1">
        <v>5</v>
      </c>
      <c r="BB114" s="1">
        <v>7</v>
      </c>
      <c r="BC114" s="1">
        <v>1</v>
      </c>
      <c r="BD114" s="1" t="s">
        <v>12</v>
      </c>
      <c r="BE114" s="1" t="s">
        <v>12</v>
      </c>
      <c r="BF114" s="1" t="s">
        <v>12</v>
      </c>
      <c r="BG114" s="1" t="s">
        <v>12</v>
      </c>
      <c r="BH114" s="1" t="s">
        <v>12</v>
      </c>
      <c r="BI114" s="1">
        <f t="shared" si="71"/>
        <v>13</v>
      </c>
      <c r="BJ114" s="1">
        <f t="shared" si="72"/>
        <v>112</v>
      </c>
      <c r="BK114" s="3" t="s">
        <v>12</v>
      </c>
      <c r="BL114" s="10" t="s">
        <v>12</v>
      </c>
      <c r="BM114" s="10" t="s">
        <v>12</v>
      </c>
      <c r="BN114" s="14" t="s">
        <v>12</v>
      </c>
      <c r="BO114" s="13" t="s">
        <v>12</v>
      </c>
      <c r="BP114" s="13" t="s">
        <v>12</v>
      </c>
      <c r="BQ114" s="13" t="s">
        <v>12</v>
      </c>
      <c r="BR114" s="13" t="s">
        <v>12</v>
      </c>
      <c r="BS114" s="13" t="s">
        <v>12</v>
      </c>
      <c r="BT114" s="13" t="s">
        <v>12</v>
      </c>
      <c r="BU114" s="13" t="s">
        <v>12</v>
      </c>
      <c r="BV114" s="13" t="s">
        <v>12</v>
      </c>
      <c r="BW114" s="13" t="s">
        <v>12</v>
      </c>
      <c r="BX114" s="13" t="s">
        <v>12</v>
      </c>
      <c r="BY114" s="13" t="s">
        <v>12</v>
      </c>
      <c r="BZ114" s="13" t="s">
        <v>12</v>
      </c>
      <c r="CA114" s="13" t="s">
        <v>12</v>
      </c>
      <c r="CB114" s="13" t="s">
        <v>12</v>
      </c>
      <c r="CC114" s="13" t="s">
        <v>12</v>
      </c>
      <c r="CD114" s="13"/>
      <c r="CE114" s="13" t="s">
        <v>12</v>
      </c>
      <c r="CF114" s="13" t="s">
        <v>12</v>
      </c>
      <c r="CG114" s="13" t="s">
        <v>12</v>
      </c>
      <c r="CH114" s="13" t="s">
        <v>12</v>
      </c>
      <c r="CI114" s="13" t="s">
        <v>12</v>
      </c>
      <c r="CJ114" s="13" t="s">
        <v>12</v>
      </c>
      <c r="CK114" s="13" t="s">
        <v>12</v>
      </c>
      <c r="CL114" s="13" t="s">
        <v>12</v>
      </c>
      <c r="CM114" s="13" t="s">
        <v>12</v>
      </c>
      <c r="CN114" s="13" t="s">
        <v>12</v>
      </c>
      <c r="CO114" s="13" t="s">
        <v>12</v>
      </c>
    </row>
    <row r="115" spans="1:99" x14ac:dyDescent="0.25">
      <c r="A115" s="1">
        <v>115</v>
      </c>
      <c r="B115" s="1">
        <v>113</v>
      </c>
      <c r="C115" s="2" t="s">
        <v>68</v>
      </c>
      <c r="D115" s="3" t="s">
        <v>27</v>
      </c>
      <c r="E115" s="1" t="str">
        <f>D115</f>
        <v>f</v>
      </c>
      <c r="F115" s="1" t="str">
        <f t="shared" si="66"/>
        <v>C</v>
      </c>
      <c r="G115" s="1" t="str">
        <f t="shared" si="67"/>
        <v>A</v>
      </c>
      <c r="H115" s="1">
        <v>0</v>
      </c>
      <c r="I115" s="1">
        <v>0</v>
      </c>
      <c r="J115" s="8" t="s">
        <v>278</v>
      </c>
      <c r="K115" s="8">
        <v>5</v>
      </c>
      <c r="L115" s="8">
        <v>3</v>
      </c>
      <c r="M115" s="8">
        <v>19</v>
      </c>
      <c r="N115" s="8">
        <v>15.2</v>
      </c>
      <c r="O115" s="8">
        <v>1</v>
      </c>
      <c r="P115" s="1" t="s">
        <v>8</v>
      </c>
      <c r="Q115" s="3">
        <v>45665</v>
      </c>
      <c r="R115" s="3">
        <v>45666</v>
      </c>
      <c r="S115" s="3">
        <v>45656</v>
      </c>
      <c r="T115" s="3">
        <v>45657</v>
      </c>
      <c r="U115" s="1">
        <f t="shared" si="68"/>
        <v>9</v>
      </c>
      <c r="V115" s="3">
        <v>45684</v>
      </c>
      <c r="W115" s="1">
        <f>_xlfn.DAYS(V115,R115)</f>
        <v>18</v>
      </c>
      <c r="X115" s="3">
        <v>45689</v>
      </c>
      <c r="Y115" s="1">
        <f>_xlfn.DAYS(X115,R115)</f>
        <v>23</v>
      </c>
      <c r="Z115" s="1">
        <f>_xlfn.DAYS(BK115,X115)</f>
        <v>7</v>
      </c>
      <c r="AB115" s="3">
        <v>45702</v>
      </c>
      <c r="AD115" s="11" t="s">
        <v>86</v>
      </c>
      <c r="AE115" s="11">
        <v>45697</v>
      </c>
      <c r="AF115" s="1">
        <f t="shared" si="57"/>
        <v>31</v>
      </c>
      <c r="AG115" s="8">
        <v>0</v>
      </c>
      <c r="AH115" s="5">
        <v>1.0549999999999999</v>
      </c>
      <c r="AI115" s="1">
        <v>1</v>
      </c>
      <c r="AJ115" s="3">
        <v>45670</v>
      </c>
      <c r="AK115" s="5">
        <f>AL115-AH115</f>
        <v>6.4260000000000002</v>
      </c>
      <c r="AL115" s="5">
        <v>7.4809999999999999</v>
      </c>
      <c r="AM115" s="1">
        <v>1</v>
      </c>
      <c r="AN115" s="3">
        <f>V115+1</f>
        <v>45685</v>
      </c>
      <c r="AO115" s="1">
        <v>7.5359999999999996</v>
      </c>
      <c r="AP115" s="8">
        <v>2</v>
      </c>
      <c r="AQ115" s="3">
        <f>X115+1</f>
        <v>45690</v>
      </c>
      <c r="AR115" s="5">
        <f>AO115-AH115</f>
        <v>6.4809999999999999</v>
      </c>
      <c r="AS115" s="1">
        <v>12</v>
      </c>
      <c r="AT115" s="1">
        <v>48</v>
      </c>
      <c r="AU115" s="1">
        <v>100</v>
      </c>
      <c r="AV115" s="1">
        <f t="shared" si="69"/>
        <v>160</v>
      </c>
      <c r="AW115" s="1">
        <v>97</v>
      </c>
      <c r="AX115" s="1">
        <v>253</v>
      </c>
      <c r="AY115" s="1">
        <v>305</v>
      </c>
      <c r="AZ115" s="1">
        <f t="shared" si="70"/>
        <v>655</v>
      </c>
      <c r="BA115" s="1">
        <v>68</v>
      </c>
      <c r="BB115" s="1">
        <v>0</v>
      </c>
      <c r="BC115" s="1">
        <v>0</v>
      </c>
      <c r="BD115" s="1" t="s">
        <v>12</v>
      </c>
      <c r="BE115" s="1" t="s">
        <v>12</v>
      </c>
      <c r="BF115" s="1" t="s">
        <v>12</v>
      </c>
      <c r="BG115" s="1" t="s">
        <v>12</v>
      </c>
      <c r="BH115" s="1" t="s">
        <v>12</v>
      </c>
      <c r="BI115" s="1">
        <f t="shared" si="71"/>
        <v>68</v>
      </c>
      <c r="BJ115" s="1">
        <f t="shared" si="72"/>
        <v>883</v>
      </c>
      <c r="BK115" s="3">
        <v>45696</v>
      </c>
      <c r="BL115" s="6"/>
      <c r="BM115" s="6" t="s">
        <v>67</v>
      </c>
      <c r="BN115" s="6" t="s">
        <v>203</v>
      </c>
      <c r="BO115" s="13">
        <v>54.12</v>
      </c>
      <c r="BP115" s="13">
        <v>5.48</v>
      </c>
      <c r="BQ115" s="1">
        <v>2</v>
      </c>
      <c r="BR115" s="1">
        <v>0</v>
      </c>
      <c r="BS115" s="1">
        <f>BQ115+BR115</f>
        <v>2</v>
      </c>
      <c r="BT115" s="1">
        <v>16</v>
      </c>
      <c r="BU115" s="1">
        <v>0</v>
      </c>
      <c r="BV115" s="1">
        <f>BT115+BU115</f>
        <v>16</v>
      </c>
      <c r="BW115" s="1">
        <v>9</v>
      </c>
      <c r="BX115" s="1">
        <v>0</v>
      </c>
      <c r="BY115" s="1">
        <f>BW115+BX115</f>
        <v>9</v>
      </c>
      <c r="BZ115" s="1">
        <v>12</v>
      </c>
      <c r="CA115" s="1">
        <v>0</v>
      </c>
      <c r="CB115" s="1">
        <f>BZ115+CA115</f>
        <v>12</v>
      </c>
      <c r="CC115" s="1">
        <f>BS115+BV115+BY115+CB115</f>
        <v>39</v>
      </c>
      <c r="CE115" s="7">
        <f>CC115+CD115</f>
        <v>39</v>
      </c>
      <c r="CF115" s="8">
        <v>2</v>
      </c>
      <c r="CG115" s="8">
        <v>7</v>
      </c>
      <c r="CH115" s="8">
        <v>10</v>
      </c>
      <c r="CI115" s="8">
        <v>14</v>
      </c>
      <c r="CJ115" s="8">
        <v>5</v>
      </c>
      <c r="CK115" s="8">
        <v>0</v>
      </c>
      <c r="CL115" s="8">
        <v>0</v>
      </c>
      <c r="CM115" s="8">
        <v>0</v>
      </c>
      <c r="CN115" s="1">
        <f>CF115+CG115+CH115+CI115+CJ115+CK115+CL115+CM115</f>
        <v>38</v>
      </c>
      <c r="CO115" s="1">
        <f>CN115/CE115</f>
        <v>0.97435897435897434</v>
      </c>
      <c r="CP115" s="8">
        <v>4.47</v>
      </c>
      <c r="CQ115" s="8">
        <v>5</v>
      </c>
      <c r="CR115" s="1">
        <f>CP115/CQ115</f>
        <v>0.89399999999999991</v>
      </c>
      <c r="CS115" s="1">
        <v>4.2519999999999998</v>
      </c>
      <c r="CT115" s="8">
        <v>4</v>
      </c>
      <c r="CU115" s="1">
        <f>CS115/CT115</f>
        <v>1.0629999999999999</v>
      </c>
    </row>
    <row r="116" spans="1:99" x14ac:dyDescent="0.25">
      <c r="A116" s="1">
        <v>116</v>
      </c>
      <c r="B116" s="1">
        <v>114</v>
      </c>
      <c r="C116" s="2" t="s">
        <v>48</v>
      </c>
      <c r="D116" s="3" t="s">
        <v>10</v>
      </c>
      <c r="E116" s="1" t="str">
        <f>D116</f>
        <v>m</v>
      </c>
      <c r="F116" s="1" t="str">
        <f t="shared" si="66"/>
        <v>I</v>
      </c>
      <c r="G116" s="1" t="str">
        <f t="shared" si="67"/>
        <v>C</v>
      </c>
      <c r="H116" s="1">
        <v>0</v>
      </c>
      <c r="I116" s="1">
        <v>1</v>
      </c>
      <c r="J116" s="8" t="s">
        <v>278</v>
      </c>
      <c r="K116" s="8">
        <v>5</v>
      </c>
      <c r="L116" s="8">
        <v>3</v>
      </c>
      <c r="M116" s="8">
        <v>19</v>
      </c>
      <c r="N116" s="8">
        <v>16.2</v>
      </c>
      <c r="O116" s="8">
        <v>1</v>
      </c>
      <c r="P116" s="1" t="s">
        <v>8</v>
      </c>
      <c r="Q116" s="3">
        <v>45665</v>
      </c>
      <c r="R116" s="3">
        <v>45666</v>
      </c>
      <c r="S116" s="3">
        <v>45656</v>
      </c>
      <c r="T116" s="3">
        <v>45657</v>
      </c>
      <c r="U116" s="1">
        <f t="shared" si="68"/>
        <v>9</v>
      </c>
      <c r="V116" s="3">
        <v>45684</v>
      </c>
      <c r="W116" s="1">
        <f>_xlfn.DAYS(V116,R116)</f>
        <v>18</v>
      </c>
      <c r="X116" s="3">
        <v>45690</v>
      </c>
      <c r="Y116" s="1">
        <f>_xlfn.DAYS(X116,R116)</f>
        <v>24</v>
      </c>
      <c r="Z116" s="1">
        <f>_xlfn.DAYS(BK116,X116)</f>
        <v>8</v>
      </c>
      <c r="AB116" s="3">
        <v>45700</v>
      </c>
      <c r="AD116" s="11" t="s">
        <v>86</v>
      </c>
      <c r="AE116" s="11">
        <v>45697</v>
      </c>
      <c r="AF116" s="1">
        <f t="shared" si="57"/>
        <v>31</v>
      </c>
      <c r="AG116" s="8">
        <v>0</v>
      </c>
      <c r="AH116" s="5">
        <v>0.70699999999999996</v>
      </c>
      <c r="AI116" s="1">
        <v>1</v>
      </c>
      <c r="AJ116" s="3">
        <v>45670</v>
      </c>
      <c r="AK116" s="5">
        <f>AL116-AH116</f>
        <v>7.16</v>
      </c>
      <c r="AL116" s="5">
        <v>7.867</v>
      </c>
      <c r="AM116" s="1">
        <v>1</v>
      </c>
      <c r="AN116" s="3">
        <f>V116+1</f>
        <v>45685</v>
      </c>
      <c r="AO116" s="1">
        <v>6.915</v>
      </c>
      <c r="AP116" s="8">
        <v>2</v>
      </c>
      <c r="AQ116" s="3">
        <f>X116+1</f>
        <v>45691</v>
      </c>
      <c r="AR116" s="5">
        <f>AO116-AH116</f>
        <v>6.2080000000000002</v>
      </c>
      <c r="AS116" s="1">
        <v>9</v>
      </c>
      <c r="AT116" s="1">
        <v>16</v>
      </c>
      <c r="AU116" s="1">
        <v>54</v>
      </c>
      <c r="AV116" s="1">
        <f t="shared" si="69"/>
        <v>79</v>
      </c>
      <c r="AW116" s="1">
        <v>46</v>
      </c>
      <c r="AX116" s="1">
        <v>91</v>
      </c>
      <c r="AY116" s="1">
        <v>247</v>
      </c>
      <c r="AZ116" s="1">
        <f t="shared" si="70"/>
        <v>384</v>
      </c>
      <c r="BA116" s="1">
        <v>168</v>
      </c>
      <c r="BB116" s="1">
        <v>0</v>
      </c>
      <c r="BC116" s="1">
        <v>0</v>
      </c>
      <c r="BD116" s="1" t="s">
        <v>12</v>
      </c>
      <c r="BE116" s="1" t="s">
        <v>12</v>
      </c>
      <c r="BF116" s="1" t="s">
        <v>12</v>
      </c>
      <c r="BG116" s="1" t="s">
        <v>12</v>
      </c>
      <c r="BH116" s="1" t="s">
        <v>12</v>
      </c>
      <c r="BI116" s="1">
        <f t="shared" si="71"/>
        <v>168</v>
      </c>
      <c r="BJ116" s="1">
        <f t="shared" si="72"/>
        <v>631</v>
      </c>
      <c r="BK116" s="3">
        <v>45698</v>
      </c>
      <c r="BL116" s="6" t="s">
        <v>47</v>
      </c>
      <c r="BM116" s="6"/>
      <c r="BN116" s="6" t="s">
        <v>219</v>
      </c>
      <c r="BO116" s="13">
        <v>55.52</v>
      </c>
      <c r="BP116" s="13">
        <v>4.08</v>
      </c>
      <c r="BQ116" s="1">
        <v>6</v>
      </c>
      <c r="BR116" s="1">
        <v>0</v>
      </c>
      <c r="BS116" s="1">
        <f>BQ116+BR116</f>
        <v>6</v>
      </c>
      <c r="BT116" s="1">
        <v>6</v>
      </c>
      <c r="BU116" s="1">
        <v>0</v>
      </c>
      <c r="BV116" s="1">
        <f>BT116+BU116</f>
        <v>6</v>
      </c>
      <c r="BW116" s="1">
        <v>8</v>
      </c>
      <c r="BX116" s="1">
        <v>0</v>
      </c>
      <c r="BY116" s="1">
        <f>BW116+BX116</f>
        <v>8</v>
      </c>
      <c r="BZ116" s="1">
        <v>9</v>
      </c>
      <c r="CA116" s="1">
        <v>1</v>
      </c>
      <c r="CB116" s="1">
        <f>BZ116+CA116</f>
        <v>10</v>
      </c>
      <c r="CC116" s="1">
        <f>BS116+BV116+BY116+CB116</f>
        <v>30</v>
      </c>
      <c r="CE116" s="7">
        <f>CC116+CD116</f>
        <v>30</v>
      </c>
      <c r="CF116" s="1">
        <v>1</v>
      </c>
      <c r="CG116" s="1">
        <v>3</v>
      </c>
      <c r="CH116" s="1">
        <v>8</v>
      </c>
      <c r="CI116" s="1">
        <v>9</v>
      </c>
      <c r="CJ116" s="1">
        <v>2</v>
      </c>
      <c r="CK116" s="1">
        <v>0</v>
      </c>
      <c r="CL116" s="1">
        <v>0</v>
      </c>
      <c r="CM116" s="1">
        <v>0</v>
      </c>
      <c r="CN116" s="1">
        <f>CF116+CG116+CH116+CI116+CJ116+CK116+CL116+CM116</f>
        <v>23</v>
      </c>
      <c r="CO116" s="1">
        <f>CN116/CE116</f>
        <v>0.76666666666666672</v>
      </c>
      <c r="CP116" s="8">
        <v>2.661</v>
      </c>
      <c r="CQ116" s="8">
        <v>5</v>
      </c>
      <c r="CR116" s="1">
        <f>CP116/CQ116</f>
        <v>0.53220000000000001</v>
      </c>
      <c r="CS116" s="1">
        <v>4.2679999999999998</v>
      </c>
      <c r="CT116" s="8">
        <v>5</v>
      </c>
      <c r="CU116" s="1">
        <f>CS116/CT116</f>
        <v>0.85359999999999991</v>
      </c>
    </row>
    <row r="117" spans="1:99" x14ac:dyDescent="0.25">
      <c r="A117" s="1">
        <v>117</v>
      </c>
      <c r="B117" s="1">
        <v>115</v>
      </c>
      <c r="C117" s="2" t="s">
        <v>138</v>
      </c>
      <c r="D117" s="3" t="s">
        <v>10</v>
      </c>
      <c r="E117" s="1" t="str">
        <f>D117</f>
        <v>m</v>
      </c>
      <c r="F117" s="1" t="str">
        <f t="shared" si="66"/>
        <v>A</v>
      </c>
      <c r="G117" s="1" t="str">
        <f t="shared" si="67"/>
        <v>B</v>
      </c>
      <c r="H117" s="1">
        <v>1</v>
      </c>
      <c r="I117" s="1">
        <v>0</v>
      </c>
      <c r="J117" s="8" t="s">
        <v>278</v>
      </c>
      <c r="K117" s="8">
        <v>5</v>
      </c>
      <c r="L117" s="8">
        <v>3</v>
      </c>
      <c r="M117" s="8">
        <v>19</v>
      </c>
      <c r="N117" s="8">
        <v>17.2</v>
      </c>
      <c r="O117" s="8">
        <v>1</v>
      </c>
      <c r="P117" s="1" t="s">
        <v>8</v>
      </c>
      <c r="Q117" s="3">
        <v>45665</v>
      </c>
      <c r="R117" s="3">
        <v>45666</v>
      </c>
      <c r="S117" s="3">
        <v>45656</v>
      </c>
      <c r="T117" s="3">
        <v>45657</v>
      </c>
      <c r="U117" s="1">
        <f t="shared" si="68"/>
        <v>9</v>
      </c>
      <c r="V117" s="3">
        <v>45682</v>
      </c>
      <c r="W117" s="1">
        <f>_xlfn.DAYS(V117,R117)</f>
        <v>16</v>
      </c>
      <c r="X117" s="3">
        <v>45688</v>
      </c>
      <c r="Y117" s="1">
        <f>_xlfn.DAYS(X117,R117)</f>
        <v>22</v>
      </c>
      <c r="AB117" s="3">
        <v>45697</v>
      </c>
      <c r="AD117" s="11" t="s">
        <v>86</v>
      </c>
      <c r="AE117" s="11">
        <v>45697</v>
      </c>
      <c r="AF117" s="1">
        <f t="shared" si="57"/>
        <v>31</v>
      </c>
      <c r="AG117" s="8">
        <v>0</v>
      </c>
      <c r="AH117" s="5">
        <v>0.98499999999999999</v>
      </c>
      <c r="AI117" s="1">
        <v>1</v>
      </c>
      <c r="AJ117" s="3">
        <v>45670</v>
      </c>
      <c r="AK117" s="5">
        <f>AL117-AH117</f>
        <v>6.6459999999999999</v>
      </c>
      <c r="AL117" s="5">
        <v>7.6310000000000002</v>
      </c>
      <c r="AM117" s="1">
        <v>2</v>
      </c>
      <c r="AN117" s="3">
        <f>V117+1</f>
        <v>45683</v>
      </c>
      <c r="AO117" s="1">
        <v>7.0030000000000001</v>
      </c>
      <c r="AP117" s="8">
        <v>2</v>
      </c>
      <c r="AQ117" s="3">
        <f>X117+1</f>
        <v>45689</v>
      </c>
      <c r="AR117" s="5">
        <f>AO117-AH117</f>
        <v>6.0179999999999998</v>
      </c>
      <c r="AS117" s="1">
        <v>13</v>
      </c>
      <c r="AT117" s="1">
        <v>22</v>
      </c>
      <c r="AU117" s="1">
        <v>92</v>
      </c>
      <c r="AV117" s="1">
        <f t="shared" si="69"/>
        <v>127</v>
      </c>
      <c r="AW117" s="1">
        <v>96</v>
      </c>
      <c r="AX117" s="1">
        <v>372</v>
      </c>
      <c r="AY117" s="1">
        <v>69</v>
      </c>
      <c r="AZ117" s="1">
        <f t="shared" si="70"/>
        <v>537</v>
      </c>
      <c r="BA117" s="1">
        <v>0</v>
      </c>
      <c r="BB117" s="1">
        <v>0</v>
      </c>
      <c r="BC117" s="1" t="s">
        <v>12</v>
      </c>
      <c r="BD117" s="1" t="s">
        <v>12</v>
      </c>
      <c r="BE117" s="1" t="s">
        <v>12</v>
      </c>
      <c r="BF117" s="1" t="s">
        <v>12</v>
      </c>
      <c r="BG117" s="1" t="s">
        <v>12</v>
      </c>
      <c r="BH117" s="1" t="s">
        <v>12</v>
      </c>
      <c r="BI117" s="1">
        <f>BA117+BB117</f>
        <v>0</v>
      </c>
      <c r="BJ117" s="1">
        <f t="shared" si="72"/>
        <v>664</v>
      </c>
      <c r="BK117" s="3" t="s">
        <v>12</v>
      </c>
      <c r="BL117" s="10" t="s">
        <v>12</v>
      </c>
      <c r="BM117" s="10" t="s">
        <v>12</v>
      </c>
      <c r="BN117" s="14" t="s">
        <v>12</v>
      </c>
      <c r="BO117" s="13" t="s">
        <v>12</v>
      </c>
      <c r="BP117" s="13" t="s">
        <v>12</v>
      </c>
      <c r="BQ117" s="13" t="s">
        <v>12</v>
      </c>
      <c r="BR117" s="13" t="s">
        <v>12</v>
      </c>
      <c r="BS117" s="13" t="s">
        <v>12</v>
      </c>
      <c r="BT117" s="13" t="s">
        <v>12</v>
      </c>
      <c r="BU117" s="13" t="s">
        <v>12</v>
      </c>
      <c r="BV117" s="13" t="s">
        <v>12</v>
      </c>
      <c r="BW117" s="13" t="s">
        <v>12</v>
      </c>
      <c r="BX117" s="13" t="s">
        <v>12</v>
      </c>
      <c r="BY117" s="13" t="s">
        <v>12</v>
      </c>
      <c r="BZ117" s="13" t="s">
        <v>12</v>
      </c>
      <c r="CA117" s="13" t="s">
        <v>12</v>
      </c>
      <c r="CB117" s="13" t="s">
        <v>12</v>
      </c>
      <c r="CC117" s="13" t="s">
        <v>12</v>
      </c>
      <c r="CD117" s="13"/>
      <c r="CE117" s="13" t="s">
        <v>12</v>
      </c>
      <c r="CF117" s="13" t="s">
        <v>12</v>
      </c>
      <c r="CG117" s="13" t="s">
        <v>12</v>
      </c>
      <c r="CH117" s="13" t="s">
        <v>12</v>
      </c>
      <c r="CI117" s="13" t="s">
        <v>12</v>
      </c>
      <c r="CJ117" s="13" t="s">
        <v>12</v>
      </c>
      <c r="CK117" s="13" t="s">
        <v>12</v>
      </c>
      <c r="CL117" s="13" t="s">
        <v>12</v>
      </c>
      <c r="CM117" s="13" t="s">
        <v>12</v>
      </c>
      <c r="CN117" s="13" t="s">
        <v>12</v>
      </c>
      <c r="CO117" s="13" t="s">
        <v>12</v>
      </c>
    </row>
    <row r="118" spans="1:99" x14ac:dyDescent="0.25">
      <c r="A118" s="1">
        <v>118</v>
      </c>
      <c r="B118" s="1">
        <v>116</v>
      </c>
      <c r="C118" s="2" t="s">
        <v>92</v>
      </c>
      <c r="D118" s="3" t="s">
        <v>27</v>
      </c>
      <c r="E118" s="1" t="str">
        <f>D118</f>
        <v>f</v>
      </c>
      <c r="F118" s="1" t="str">
        <f t="shared" si="66"/>
        <v>C</v>
      </c>
      <c r="G118" s="1" t="str">
        <f t="shared" si="67"/>
        <v>A</v>
      </c>
      <c r="H118" s="1">
        <v>0</v>
      </c>
      <c r="I118" s="1">
        <v>0</v>
      </c>
      <c r="J118" s="8" t="s">
        <v>278</v>
      </c>
      <c r="K118" s="8">
        <v>5</v>
      </c>
      <c r="L118" s="8">
        <v>3</v>
      </c>
      <c r="M118" s="8">
        <v>20</v>
      </c>
      <c r="N118" s="8">
        <v>17.2</v>
      </c>
      <c r="O118" s="8">
        <v>1</v>
      </c>
      <c r="P118" s="1" t="s">
        <v>8</v>
      </c>
      <c r="Q118" s="3">
        <v>45665</v>
      </c>
      <c r="R118" s="3">
        <v>45666</v>
      </c>
      <c r="S118" s="3">
        <v>45656</v>
      </c>
      <c r="T118" s="3">
        <v>45657</v>
      </c>
      <c r="U118" s="1">
        <f t="shared" si="68"/>
        <v>9</v>
      </c>
      <c r="V118" s="3">
        <v>45683</v>
      </c>
      <c r="W118" s="1">
        <f>_xlfn.DAYS(V118,R118)</f>
        <v>17</v>
      </c>
      <c r="X118" s="3">
        <v>45688</v>
      </c>
      <c r="Y118" s="1">
        <f>_xlfn.DAYS(X118,R118)</f>
        <v>22</v>
      </c>
      <c r="Z118" s="1">
        <f>_xlfn.DAYS(BK118,X118)</f>
        <v>7</v>
      </c>
      <c r="AB118" s="3">
        <v>45701</v>
      </c>
      <c r="AD118" s="11" t="s">
        <v>86</v>
      </c>
      <c r="AE118" s="11">
        <v>45697</v>
      </c>
      <c r="AF118" s="1">
        <f t="shared" si="57"/>
        <v>31</v>
      </c>
      <c r="AG118" s="8">
        <v>0</v>
      </c>
      <c r="AH118" s="5">
        <v>0.92800000000000005</v>
      </c>
      <c r="AI118" s="1">
        <v>1</v>
      </c>
      <c r="AJ118" s="3">
        <v>45670</v>
      </c>
      <c r="AK118" s="5">
        <f>AL118-AH118</f>
        <v>7.6909999999999998</v>
      </c>
      <c r="AL118" s="5">
        <v>8.6189999999999998</v>
      </c>
      <c r="AM118" s="1">
        <v>2</v>
      </c>
      <c r="AN118" s="3">
        <f>V118+1</f>
        <v>45684</v>
      </c>
      <c r="AO118" s="8">
        <v>7.7770000000000001</v>
      </c>
      <c r="AP118" s="8">
        <v>2</v>
      </c>
      <c r="AQ118" s="3">
        <f>X118+1</f>
        <v>45689</v>
      </c>
      <c r="AR118" s="5">
        <f>AO118-AH118</f>
        <v>6.8490000000000002</v>
      </c>
      <c r="AS118" s="1">
        <v>13</v>
      </c>
      <c r="AT118" s="1">
        <v>21</v>
      </c>
      <c r="AU118" s="1">
        <v>77</v>
      </c>
      <c r="AV118" s="1">
        <f t="shared" si="69"/>
        <v>111</v>
      </c>
      <c r="AW118" s="1">
        <v>99</v>
      </c>
      <c r="AX118" s="1">
        <v>279</v>
      </c>
      <c r="AY118" s="1">
        <v>299</v>
      </c>
      <c r="AZ118" s="1">
        <f t="shared" si="70"/>
        <v>677</v>
      </c>
      <c r="BA118" s="1">
        <v>6</v>
      </c>
      <c r="BB118" s="1">
        <v>0</v>
      </c>
      <c r="BC118" s="1">
        <v>0</v>
      </c>
      <c r="BD118" s="1" t="s">
        <v>12</v>
      </c>
      <c r="BE118" s="1" t="s">
        <v>12</v>
      </c>
      <c r="BF118" s="1" t="s">
        <v>12</v>
      </c>
      <c r="BG118" s="1" t="s">
        <v>12</v>
      </c>
      <c r="BH118" s="1" t="s">
        <v>12</v>
      </c>
      <c r="BI118" s="1">
        <f>BA118+BB118+BC118</f>
        <v>6</v>
      </c>
      <c r="BJ118" s="1">
        <f t="shared" si="72"/>
        <v>794</v>
      </c>
      <c r="BK118" s="3">
        <v>45695</v>
      </c>
      <c r="BL118" s="6"/>
      <c r="BM118" s="6" t="s">
        <v>91</v>
      </c>
      <c r="BN118" s="6" t="s">
        <v>196</v>
      </c>
      <c r="BO118" s="13">
        <v>38.32</v>
      </c>
      <c r="BP118" s="13">
        <v>21.28</v>
      </c>
      <c r="BQ118" s="1">
        <v>9</v>
      </c>
      <c r="BR118" s="1">
        <v>0</v>
      </c>
      <c r="BS118" s="1">
        <f>BQ118+BR118</f>
        <v>9</v>
      </c>
      <c r="BT118" s="1">
        <v>10</v>
      </c>
      <c r="BU118" s="1">
        <v>1</v>
      </c>
      <c r="BV118" s="1">
        <f>BT118+BU118</f>
        <v>11</v>
      </c>
      <c r="BW118" s="1">
        <v>10</v>
      </c>
      <c r="BX118" s="1">
        <v>0</v>
      </c>
      <c r="BY118" s="1">
        <f>BW118+BX118</f>
        <v>10</v>
      </c>
      <c r="BZ118" s="1">
        <v>9</v>
      </c>
      <c r="CA118" s="1">
        <v>2</v>
      </c>
      <c r="CB118" s="1">
        <f>BZ118+CA118</f>
        <v>11</v>
      </c>
      <c r="CC118" s="1">
        <f>BS118+BV118+BY118+CB118</f>
        <v>41</v>
      </c>
      <c r="CE118" s="7">
        <f>CC118+CD118</f>
        <v>41</v>
      </c>
      <c r="CF118" s="8">
        <v>5</v>
      </c>
      <c r="CG118" s="8">
        <v>8</v>
      </c>
      <c r="CH118" s="8">
        <v>5</v>
      </c>
      <c r="CI118" s="8">
        <v>13</v>
      </c>
      <c r="CJ118" s="8">
        <v>5</v>
      </c>
      <c r="CK118" s="8">
        <v>0</v>
      </c>
      <c r="CL118" s="8">
        <v>3</v>
      </c>
      <c r="CM118" s="8">
        <v>0</v>
      </c>
      <c r="CN118" s="1">
        <f>CF118+CG118+CH118+CI118+CJ118+CK118+CL118+CM118</f>
        <v>39</v>
      </c>
      <c r="CO118" s="1">
        <f>CN118/CE118</f>
        <v>0.95121951219512191</v>
      </c>
      <c r="CP118" s="8">
        <v>5.5209999999999999</v>
      </c>
      <c r="CQ118" s="8">
        <v>5</v>
      </c>
      <c r="CR118" s="1">
        <f>CP118/CQ118</f>
        <v>1.1042000000000001</v>
      </c>
      <c r="CS118" s="1">
        <v>3.3919999999999999</v>
      </c>
      <c r="CT118" s="8">
        <v>5</v>
      </c>
      <c r="CU118" s="1">
        <f>CS118/CT118</f>
        <v>0.6784</v>
      </c>
    </row>
    <row r="119" spans="1:99" x14ac:dyDescent="0.25">
      <c r="A119" s="1">
        <v>119</v>
      </c>
      <c r="B119" s="1">
        <v>117</v>
      </c>
      <c r="C119" s="2" t="s">
        <v>139</v>
      </c>
      <c r="D119" s="1" t="s">
        <v>280</v>
      </c>
      <c r="E119" s="1" t="s">
        <v>12</v>
      </c>
      <c r="F119" s="1" t="str">
        <f t="shared" si="66"/>
        <v>M</v>
      </c>
      <c r="G119" s="1" t="str">
        <f t="shared" si="67"/>
        <v>D</v>
      </c>
      <c r="H119" s="1">
        <v>1</v>
      </c>
      <c r="I119" s="1">
        <v>1</v>
      </c>
      <c r="J119" s="8" t="s">
        <v>276</v>
      </c>
      <c r="K119" s="8">
        <v>5</v>
      </c>
      <c r="L119" s="8">
        <v>3</v>
      </c>
      <c r="M119" s="8">
        <v>20</v>
      </c>
      <c r="N119" s="8">
        <v>16.2</v>
      </c>
      <c r="O119" s="8"/>
      <c r="P119" s="1" t="s">
        <v>8</v>
      </c>
      <c r="Q119" s="3">
        <v>45665</v>
      </c>
      <c r="R119" s="3">
        <v>45666</v>
      </c>
      <c r="S119" s="3">
        <v>45656</v>
      </c>
      <c r="T119" s="3">
        <v>45657</v>
      </c>
      <c r="U119" s="1">
        <f t="shared" si="68"/>
        <v>9</v>
      </c>
      <c r="V119" s="3">
        <v>45684</v>
      </c>
      <c r="W119" s="1">
        <f>_xlfn.DAYS(V119,R119)</f>
        <v>18</v>
      </c>
      <c r="X119" s="1" t="s">
        <v>12</v>
      </c>
      <c r="Y119" s="1" t="s">
        <v>12</v>
      </c>
      <c r="AA119" s="3">
        <v>45690</v>
      </c>
      <c r="AD119" s="11"/>
      <c r="AE119" s="11">
        <f>AA119</f>
        <v>45690</v>
      </c>
      <c r="AF119" s="1">
        <f t="shared" si="57"/>
        <v>24</v>
      </c>
      <c r="AG119" s="1">
        <v>1</v>
      </c>
      <c r="AH119" s="5">
        <v>0.86399999999999999</v>
      </c>
      <c r="AI119" s="1">
        <v>1</v>
      </c>
      <c r="AJ119" s="3">
        <v>45670</v>
      </c>
      <c r="AK119" s="5">
        <f>AL119-AH119</f>
        <v>8.4089999999999989</v>
      </c>
      <c r="AL119" s="5">
        <v>9.2729999999999997</v>
      </c>
      <c r="AM119" s="1">
        <v>1</v>
      </c>
      <c r="AN119" s="3">
        <f>V119+1</f>
        <v>45685</v>
      </c>
      <c r="AO119" s="1" t="s">
        <v>12</v>
      </c>
      <c r="AP119" s="5" t="s">
        <v>12</v>
      </c>
      <c r="AQ119" s="3" t="s">
        <v>12</v>
      </c>
      <c r="AR119" s="1" t="s">
        <v>12</v>
      </c>
      <c r="AS119" s="1">
        <v>10</v>
      </c>
      <c r="AT119" s="1">
        <v>19</v>
      </c>
      <c r="AU119" s="1">
        <v>66</v>
      </c>
      <c r="AV119" s="1">
        <f t="shared" si="69"/>
        <v>95</v>
      </c>
      <c r="AW119" s="1">
        <v>54</v>
      </c>
      <c r="AX119" s="1">
        <v>114</v>
      </c>
      <c r="AY119" s="1">
        <v>470</v>
      </c>
      <c r="AZ119" s="1">
        <f t="shared" si="70"/>
        <v>638</v>
      </c>
      <c r="BA119" s="1">
        <v>197</v>
      </c>
      <c r="BB119" s="1">
        <v>6</v>
      </c>
      <c r="BC119" s="1">
        <v>0</v>
      </c>
      <c r="BD119" s="1" t="s">
        <v>12</v>
      </c>
      <c r="BE119" s="1" t="s">
        <v>12</v>
      </c>
      <c r="BF119" s="1" t="s">
        <v>12</v>
      </c>
      <c r="BG119" s="1" t="s">
        <v>12</v>
      </c>
      <c r="BH119" s="1" t="s">
        <v>12</v>
      </c>
      <c r="BI119" s="1">
        <f>BA119+BB119+BC119</f>
        <v>203</v>
      </c>
      <c r="BJ119" s="1">
        <f t="shared" si="72"/>
        <v>936</v>
      </c>
      <c r="BK119" s="3" t="s">
        <v>12</v>
      </c>
      <c r="BL119" s="10" t="s">
        <v>12</v>
      </c>
      <c r="BM119" s="10" t="s">
        <v>12</v>
      </c>
      <c r="BN119" s="14" t="s">
        <v>12</v>
      </c>
      <c r="BO119" s="13" t="s">
        <v>12</v>
      </c>
      <c r="BP119" s="13" t="s">
        <v>12</v>
      </c>
      <c r="BQ119" s="13" t="s">
        <v>12</v>
      </c>
      <c r="BR119" s="13" t="s">
        <v>12</v>
      </c>
      <c r="BS119" s="13" t="s">
        <v>12</v>
      </c>
      <c r="BT119" s="13" t="s">
        <v>12</v>
      </c>
      <c r="BU119" s="13" t="s">
        <v>12</v>
      </c>
      <c r="BV119" s="13" t="s">
        <v>12</v>
      </c>
      <c r="BW119" s="13" t="s">
        <v>12</v>
      </c>
      <c r="BX119" s="13" t="s">
        <v>12</v>
      </c>
      <c r="BY119" s="13" t="s">
        <v>12</v>
      </c>
      <c r="BZ119" s="13" t="s">
        <v>12</v>
      </c>
      <c r="CA119" s="13" t="s">
        <v>12</v>
      </c>
      <c r="CB119" s="13" t="s">
        <v>12</v>
      </c>
      <c r="CC119" s="13" t="s">
        <v>12</v>
      </c>
      <c r="CD119" s="13"/>
      <c r="CE119" s="13" t="s">
        <v>12</v>
      </c>
      <c r="CF119" s="13" t="s">
        <v>12</v>
      </c>
      <c r="CG119" s="13" t="s">
        <v>12</v>
      </c>
      <c r="CH119" s="13" t="s">
        <v>12</v>
      </c>
      <c r="CI119" s="13" t="s">
        <v>12</v>
      </c>
      <c r="CJ119" s="13" t="s">
        <v>12</v>
      </c>
      <c r="CK119" s="13" t="s">
        <v>12</v>
      </c>
      <c r="CL119" s="13" t="s">
        <v>12</v>
      </c>
      <c r="CM119" s="13" t="s">
        <v>12</v>
      </c>
      <c r="CN119" s="13" t="s">
        <v>12</v>
      </c>
      <c r="CO119" s="13" t="s">
        <v>12</v>
      </c>
    </row>
    <row r="120" spans="1:99" x14ac:dyDescent="0.25">
      <c r="A120" s="1">
        <v>120</v>
      </c>
      <c r="B120" s="1">
        <v>118</v>
      </c>
      <c r="C120" s="2" t="s">
        <v>140</v>
      </c>
      <c r="D120" s="1" t="s">
        <v>280</v>
      </c>
      <c r="E120" s="1" t="s">
        <v>12</v>
      </c>
      <c r="F120" s="1" t="str">
        <f t="shared" si="66"/>
        <v>I</v>
      </c>
      <c r="G120" s="1" t="str">
        <f t="shared" si="67"/>
        <v>C</v>
      </c>
      <c r="H120" s="1">
        <v>0</v>
      </c>
      <c r="I120" s="1">
        <v>1</v>
      </c>
      <c r="J120" s="8" t="s">
        <v>278</v>
      </c>
      <c r="K120" s="8">
        <v>5</v>
      </c>
      <c r="L120" s="8">
        <v>3</v>
      </c>
      <c r="M120" s="8">
        <v>20</v>
      </c>
      <c r="N120" s="8">
        <v>15.2</v>
      </c>
      <c r="O120" s="8"/>
      <c r="P120" s="1" t="s">
        <v>8</v>
      </c>
      <c r="Q120" s="3">
        <v>45665</v>
      </c>
      <c r="R120" s="3">
        <v>45666</v>
      </c>
      <c r="S120" s="3">
        <v>45656</v>
      </c>
      <c r="T120" s="3">
        <v>45657</v>
      </c>
      <c r="U120" s="1">
        <f t="shared" si="68"/>
        <v>9</v>
      </c>
      <c r="V120" s="1" t="s">
        <v>12</v>
      </c>
      <c r="W120" s="1" t="s">
        <v>12</v>
      </c>
      <c r="X120" s="1" t="s">
        <v>12</v>
      </c>
      <c r="Y120" s="1" t="s">
        <v>12</v>
      </c>
      <c r="AA120" s="3">
        <v>45675</v>
      </c>
      <c r="AE120" s="11">
        <f>AA120</f>
        <v>45675</v>
      </c>
      <c r="AF120" s="1">
        <f t="shared" si="57"/>
        <v>9</v>
      </c>
      <c r="AG120" s="1">
        <v>1</v>
      </c>
      <c r="AH120" s="5">
        <v>0.74299999999999999</v>
      </c>
      <c r="AI120" s="1">
        <v>1</v>
      </c>
      <c r="AJ120" s="3">
        <v>45670</v>
      </c>
      <c r="AK120" s="5" t="s">
        <v>12</v>
      </c>
      <c r="AL120" s="5" t="s">
        <v>12</v>
      </c>
      <c r="AM120" s="1" t="s">
        <v>12</v>
      </c>
      <c r="AN120" s="3" t="s">
        <v>12</v>
      </c>
      <c r="AO120" s="1" t="s">
        <v>12</v>
      </c>
      <c r="AP120" s="5" t="s">
        <v>12</v>
      </c>
      <c r="AQ120" s="3" t="s">
        <v>12</v>
      </c>
      <c r="AR120" s="1" t="s">
        <v>12</v>
      </c>
      <c r="AS120" s="1">
        <v>14</v>
      </c>
      <c r="AT120" s="1">
        <v>20</v>
      </c>
      <c r="AU120" s="1">
        <v>64</v>
      </c>
      <c r="AV120" s="1">
        <f t="shared" si="69"/>
        <v>98</v>
      </c>
      <c r="AW120" s="1">
        <v>12</v>
      </c>
      <c r="AX120" s="1">
        <v>0</v>
      </c>
      <c r="AY120" s="1" t="s">
        <v>12</v>
      </c>
      <c r="AZ120" s="1">
        <f>AW120+AX120</f>
        <v>12</v>
      </c>
      <c r="BA120" s="1" t="s">
        <v>12</v>
      </c>
      <c r="BB120" s="1" t="s">
        <v>12</v>
      </c>
      <c r="BC120" s="1" t="s">
        <v>12</v>
      </c>
      <c r="BD120" s="1" t="s">
        <v>12</v>
      </c>
      <c r="BE120" s="1" t="s">
        <v>12</v>
      </c>
      <c r="BF120" s="1" t="s">
        <v>12</v>
      </c>
      <c r="BG120" s="1" t="s">
        <v>12</v>
      </c>
      <c r="BH120" s="1" t="s">
        <v>12</v>
      </c>
      <c r="BI120" s="1" t="s">
        <v>12</v>
      </c>
      <c r="BJ120" s="1" t="s">
        <v>12</v>
      </c>
      <c r="BK120" s="3" t="s">
        <v>12</v>
      </c>
      <c r="BL120" s="10" t="s">
        <v>12</v>
      </c>
      <c r="BM120" s="10" t="s">
        <v>12</v>
      </c>
      <c r="BN120" s="14" t="s">
        <v>12</v>
      </c>
      <c r="BO120" s="13" t="s">
        <v>12</v>
      </c>
      <c r="BP120" s="13" t="s">
        <v>12</v>
      </c>
      <c r="BQ120" s="13" t="s">
        <v>12</v>
      </c>
      <c r="BR120" s="13" t="s">
        <v>12</v>
      </c>
      <c r="BS120" s="13" t="s">
        <v>12</v>
      </c>
      <c r="BT120" s="13" t="s">
        <v>12</v>
      </c>
      <c r="BU120" s="13" t="s">
        <v>12</v>
      </c>
      <c r="BV120" s="13" t="s">
        <v>12</v>
      </c>
      <c r="BW120" s="13" t="s">
        <v>12</v>
      </c>
      <c r="BX120" s="13" t="s">
        <v>12</v>
      </c>
      <c r="BY120" s="13" t="s">
        <v>12</v>
      </c>
      <c r="BZ120" s="13" t="s">
        <v>12</v>
      </c>
      <c r="CA120" s="13" t="s">
        <v>12</v>
      </c>
      <c r="CB120" s="13" t="s">
        <v>12</v>
      </c>
      <c r="CC120" s="13" t="s">
        <v>12</v>
      </c>
      <c r="CD120" s="13"/>
      <c r="CE120" s="13" t="s">
        <v>12</v>
      </c>
      <c r="CF120" s="13" t="s">
        <v>12</v>
      </c>
      <c r="CG120" s="13" t="s">
        <v>12</v>
      </c>
      <c r="CH120" s="13" t="s">
        <v>12</v>
      </c>
      <c r="CI120" s="13" t="s">
        <v>12</v>
      </c>
      <c r="CJ120" s="13" t="s">
        <v>12</v>
      </c>
      <c r="CK120" s="13" t="s">
        <v>12</v>
      </c>
      <c r="CL120" s="13" t="s">
        <v>12</v>
      </c>
      <c r="CM120" s="13" t="s">
        <v>12</v>
      </c>
      <c r="CN120" s="13" t="s">
        <v>12</v>
      </c>
      <c r="CO120" s="13" t="s">
        <v>12</v>
      </c>
    </row>
    <row r="121" spans="1:99" x14ac:dyDescent="0.25">
      <c r="A121" s="1">
        <v>121</v>
      </c>
      <c r="B121" s="1">
        <v>119</v>
      </c>
      <c r="C121" s="2" t="s">
        <v>123</v>
      </c>
      <c r="D121" s="3" t="s">
        <v>27</v>
      </c>
      <c r="E121" s="1" t="str">
        <f>D121</f>
        <v>f</v>
      </c>
      <c r="F121" s="1" t="str">
        <f t="shared" si="66"/>
        <v>A</v>
      </c>
      <c r="G121" s="1" t="str">
        <f t="shared" si="67"/>
        <v>B</v>
      </c>
      <c r="H121" s="1">
        <v>1</v>
      </c>
      <c r="I121" s="1">
        <v>0</v>
      </c>
      <c r="J121" s="8" t="s">
        <v>278</v>
      </c>
      <c r="K121" s="1">
        <v>5</v>
      </c>
      <c r="L121" s="1">
        <v>3</v>
      </c>
      <c r="M121" s="8">
        <v>20</v>
      </c>
      <c r="N121" s="8">
        <v>14.2</v>
      </c>
      <c r="O121" s="8">
        <v>1</v>
      </c>
      <c r="P121" s="1" t="s">
        <v>8</v>
      </c>
      <c r="Q121" s="3">
        <v>45665</v>
      </c>
      <c r="R121" s="3">
        <v>45666</v>
      </c>
      <c r="S121" s="3">
        <v>45656</v>
      </c>
      <c r="T121" s="3">
        <v>45657</v>
      </c>
      <c r="U121" s="1">
        <f t="shared" si="68"/>
        <v>9</v>
      </c>
      <c r="V121" s="3">
        <v>45684</v>
      </c>
      <c r="W121" s="1">
        <f>_xlfn.DAYS(V121,R121)</f>
        <v>18</v>
      </c>
      <c r="X121" s="3">
        <v>45689</v>
      </c>
      <c r="Y121" s="1">
        <f>_xlfn.DAYS(X121,R121)</f>
        <v>23</v>
      </c>
      <c r="Z121" s="1">
        <f>_xlfn.DAYS(BK121,X121)</f>
        <v>7</v>
      </c>
      <c r="AB121" s="3">
        <v>45702</v>
      </c>
      <c r="AD121" s="11" t="s">
        <v>86</v>
      </c>
      <c r="AE121" s="11">
        <v>45697</v>
      </c>
      <c r="AF121" s="1">
        <f t="shared" si="57"/>
        <v>31</v>
      </c>
      <c r="AG121" s="1">
        <v>0</v>
      </c>
      <c r="AH121" s="5">
        <v>0.72399999999999998</v>
      </c>
      <c r="AI121" s="1">
        <v>1</v>
      </c>
      <c r="AJ121" s="3">
        <v>45670</v>
      </c>
      <c r="AK121" s="5">
        <f>AL121-AH121</f>
        <v>6.819</v>
      </c>
      <c r="AL121" s="5">
        <v>7.5430000000000001</v>
      </c>
      <c r="AM121" s="1">
        <v>1</v>
      </c>
      <c r="AN121" s="3">
        <f>V121+1</f>
        <v>45685</v>
      </c>
      <c r="AO121" s="1">
        <v>6.7190000000000003</v>
      </c>
      <c r="AP121" s="8">
        <v>2</v>
      </c>
      <c r="AQ121" s="3">
        <f>X121+1</f>
        <v>45690</v>
      </c>
      <c r="AR121" s="5">
        <f>AO121-AH121</f>
        <v>5.9950000000000001</v>
      </c>
      <c r="AS121" s="1">
        <v>9</v>
      </c>
      <c r="AT121" s="1">
        <v>21</v>
      </c>
      <c r="AU121" s="1">
        <v>75</v>
      </c>
      <c r="AV121" s="1">
        <f t="shared" si="69"/>
        <v>105</v>
      </c>
      <c r="AW121" s="1">
        <v>59</v>
      </c>
      <c r="AX121" s="1">
        <v>149</v>
      </c>
      <c r="AY121" s="1">
        <v>192</v>
      </c>
      <c r="AZ121" s="1">
        <f>SUM(AW121+AX121+AY121)</f>
        <v>400</v>
      </c>
      <c r="BA121" s="1">
        <v>87</v>
      </c>
      <c r="BB121" s="1">
        <v>6</v>
      </c>
      <c r="BC121" s="1">
        <v>1</v>
      </c>
      <c r="BD121" s="1" t="s">
        <v>12</v>
      </c>
      <c r="BE121" s="1" t="s">
        <v>12</v>
      </c>
      <c r="BF121" s="1" t="s">
        <v>12</v>
      </c>
      <c r="BG121" s="1" t="s">
        <v>12</v>
      </c>
      <c r="BH121" s="1" t="s">
        <v>12</v>
      </c>
      <c r="BI121" s="1">
        <f>BA121+BB121+BC121</f>
        <v>94</v>
      </c>
      <c r="BJ121" s="1">
        <f>AV121+AZ121+BI121</f>
        <v>599</v>
      </c>
      <c r="BK121" s="3">
        <v>45696</v>
      </c>
      <c r="BL121" s="6"/>
      <c r="BM121" s="6" t="s">
        <v>122</v>
      </c>
      <c r="BN121" s="6" t="s">
        <v>210</v>
      </c>
      <c r="BO121" s="13">
        <v>40.18</v>
      </c>
      <c r="BP121" s="13">
        <v>19.420000000000002</v>
      </c>
      <c r="BQ121" s="1">
        <v>4</v>
      </c>
      <c r="BR121" s="1">
        <v>0</v>
      </c>
      <c r="BS121" s="1">
        <f>BQ121+BR121</f>
        <v>4</v>
      </c>
      <c r="BT121" s="1">
        <v>13</v>
      </c>
      <c r="BU121" s="1">
        <v>0</v>
      </c>
      <c r="BV121" s="1">
        <f>BT121+BU121</f>
        <v>13</v>
      </c>
      <c r="BW121" s="1">
        <v>6</v>
      </c>
      <c r="BX121" s="1">
        <v>0</v>
      </c>
      <c r="BY121" s="1">
        <f>BW121+BX121</f>
        <v>6</v>
      </c>
      <c r="BZ121" s="1">
        <v>15</v>
      </c>
      <c r="CA121" s="1">
        <v>0</v>
      </c>
      <c r="CB121" s="1">
        <f>BZ121+CA121</f>
        <v>15</v>
      </c>
      <c r="CC121" s="1">
        <f>BS121+BV121+BY121+CB121</f>
        <v>38</v>
      </c>
      <c r="CE121" s="7">
        <f>CC121+CD121</f>
        <v>38</v>
      </c>
      <c r="CF121" s="8">
        <v>0</v>
      </c>
      <c r="CG121" s="8">
        <v>9</v>
      </c>
      <c r="CH121" s="8">
        <v>8</v>
      </c>
      <c r="CI121" s="8">
        <v>8</v>
      </c>
      <c r="CJ121" s="8">
        <v>1</v>
      </c>
      <c r="CK121" s="8">
        <v>1</v>
      </c>
      <c r="CL121" s="8">
        <v>0</v>
      </c>
      <c r="CM121" s="8">
        <v>0</v>
      </c>
      <c r="CN121" s="1">
        <f>CF121+CG121+CH121+CI121+CJ121+CK121+CL121+CM121</f>
        <v>27</v>
      </c>
      <c r="CO121" s="1">
        <f>CN121/CE121</f>
        <v>0.71052631578947367</v>
      </c>
      <c r="CP121" s="8">
        <v>3.11</v>
      </c>
      <c r="CQ121" s="8">
        <v>5</v>
      </c>
      <c r="CR121" s="1">
        <f>CP121/CQ121</f>
        <v>0.622</v>
      </c>
      <c r="CS121" s="1">
        <v>3.0369999999999999</v>
      </c>
      <c r="CT121" s="8">
        <v>5</v>
      </c>
      <c r="CU121" s="1">
        <f>CS121/CT121</f>
        <v>0.60739999999999994</v>
      </c>
    </row>
    <row r="122" spans="1:99" x14ac:dyDescent="0.25">
      <c r="A122" s="1">
        <v>122</v>
      </c>
      <c r="B122" s="1">
        <v>120</v>
      </c>
      <c r="C122" s="2" t="s">
        <v>141</v>
      </c>
      <c r="D122" s="1" t="s">
        <v>280</v>
      </c>
      <c r="E122" s="1" t="s">
        <v>12</v>
      </c>
      <c r="F122" s="1" t="str">
        <f t="shared" si="66"/>
        <v>M</v>
      </c>
      <c r="G122" s="1" t="str">
        <f t="shared" si="67"/>
        <v>D</v>
      </c>
      <c r="H122" s="1">
        <v>1</v>
      </c>
      <c r="I122" s="1">
        <v>1</v>
      </c>
      <c r="J122" s="8" t="s">
        <v>276</v>
      </c>
      <c r="K122" s="8">
        <v>6</v>
      </c>
      <c r="L122" s="8">
        <v>3</v>
      </c>
      <c r="M122" s="8">
        <v>21.2</v>
      </c>
      <c r="N122" s="1">
        <v>14.2</v>
      </c>
      <c r="P122" s="1" t="s">
        <v>8</v>
      </c>
      <c r="Q122" s="3">
        <v>45665</v>
      </c>
      <c r="R122" s="3">
        <v>45666</v>
      </c>
      <c r="S122" s="3">
        <v>45656</v>
      </c>
      <c r="T122" s="3">
        <v>45657</v>
      </c>
      <c r="U122" s="1">
        <f t="shared" si="68"/>
        <v>9</v>
      </c>
      <c r="V122" s="1" t="s">
        <v>12</v>
      </c>
      <c r="W122" s="1" t="s">
        <v>12</v>
      </c>
      <c r="X122" s="1" t="s">
        <v>12</v>
      </c>
      <c r="Y122" s="1" t="s">
        <v>12</v>
      </c>
      <c r="AA122" s="3">
        <v>45669</v>
      </c>
      <c r="AC122" s="4" t="s">
        <v>86</v>
      </c>
      <c r="AE122" s="11">
        <f>AA122</f>
        <v>45669</v>
      </c>
      <c r="AF122" s="1">
        <f t="shared" si="57"/>
        <v>3</v>
      </c>
      <c r="AG122" s="1">
        <v>0</v>
      </c>
      <c r="AH122" s="5" t="s">
        <v>12</v>
      </c>
      <c r="AI122" s="1">
        <v>1</v>
      </c>
      <c r="AJ122" s="3">
        <v>45670</v>
      </c>
      <c r="AK122" s="5" t="s">
        <v>12</v>
      </c>
      <c r="AL122" s="5" t="s">
        <v>12</v>
      </c>
      <c r="AM122" s="8" t="s">
        <v>12</v>
      </c>
      <c r="AN122" s="3" t="s">
        <v>12</v>
      </c>
      <c r="AO122" s="1" t="s">
        <v>12</v>
      </c>
      <c r="AP122" s="5" t="s">
        <v>12</v>
      </c>
      <c r="AQ122" s="3" t="s">
        <v>12</v>
      </c>
      <c r="AR122" s="1" t="s">
        <v>12</v>
      </c>
      <c r="AS122" s="1">
        <v>11</v>
      </c>
      <c r="AT122" s="1">
        <v>0</v>
      </c>
      <c r="AU122" s="1" t="s">
        <v>12</v>
      </c>
      <c r="AV122" s="1">
        <v>11</v>
      </c>
      <c r="AW122" s="1" t="s">
        <v>12</v>
      </c>
      <c r="AX122" s="1" t="s">
        <v>12</v>
      </c>
      <c r="AY122" s="1" t="s">
        <v>12</v>
      </c>
      <c r="AZ122" s="1" t="s">
        <v>12</v>
      </c>
      <c r="BA122" s="1" t="s">
        <v>12</v>
      </c>
      <c r="BB122" s="1" t="s">
        <v>12</v>
      </c>
      <c r="BC122" s="1" t="s">
        <v>12</v>
      </c>
      <c r="BD122" s="1" t="s">
        <v>12</v>
      </c>
      <c r="BE122" s="1" t="s">
        <v>12</v>
      </c>
      <c r="BF122" s="1" t="s">
        <v>12</v>
      </c>
      <c r="BG122" s="1" t="s">
        <v>12</v>
      </c>
      <c r="BH122" s="1" t="s">
        <v>12</v>
      </c>
      <c r="BI122" s="1" t="s">
        <v>12</v>
      </c>
      <c r="BJ122" s="1" t="s">
        <v>12</v>
      </c>
      <c r="BK122" s="3" t="s">
        <v>12</v>
      </c>
      <c r="BL122" s="10" t="s">
        <v>12</v>
      </c>
      <c r="BM122" s="10" t="s">
        <v>12</v>
      </c>
      <c r="BN122" s="14" t="s">
        <v>12</v>
      </c>
      <c r="BO122" s="13" t="s">
        <v>12</v>
      </c>
      <c r="BP122" s="13" t="s">
        <v>12</v>
      </c>
      <c r="BQ122" s="13" t="s">
        <v>12</v>
      </c>
      <c r="BR122" s="13" t="s">
        <v>12</v>
      </c>
      <c r="BS122" s="13" t="s">
        <v>12</v>
      </c>
      <c r="BT122" s="13" t="s">
        <v>12</v>
      </c>
      <c r="BU122" s="13" t="s">
        <v>12</v>
      </c>
      <c r="BV122" s="13" t="s">
        <v>12</v>
      </c>
      <c r="BW122" s="13" t="s">
        <v>12</v>
      </c>
      <c r="BX122" s="13" t="s">
        <v>12</v>
      </c>
      <c r="BY122" s="13" t="s">
        <v>12</v>
      </c>
      <c r="BZ122" s="13" t="s">
        <v>12</v>
      </c>
      <c r="CA122" s="13" t="s">
        <v>12</v>
      </c>
      <c r="CB122" s="13" t="s">
        <v>12</v>
      </c>
      <c r="CC122" s="13" t="s">
        <v>12</v>
      </c>
      <c r="CD122" s="13"/>
      <c r="CE122" s="13" t="s">
        <v>12</v>
      </c>
      <c r="CF122" s="13" t="s">
        <v>12</v>
      </c>
      <c r="CG122" s="13" t="s">
        <v>12</v>
      </c>
      <c r="CH122" s="13" t="s">
        <v>12</v>
      </c>
      <c r="CI122" s="13" t="s">
        <v>12</v>
      </c>
      <c r="CJ122" s="13" t="s">
        <v>12</v>
      </c>
      <c r="CK122" s="13" t="s">
        <v>12</v>
      </c>
      <c r="CL122" s="13" t="s">
        <v>12</v>
      </c>
      <c r="CM122" s="13" t="s">
        <v>12</v>
      </c>
      <c r="CN122" s="13" t="s">
        <v>12</v>
      </c>
      <c r="CO122" s="13" t="s">
        <v>12</v>
      </c>
    </row>
    <row r="123" spans="1:99" x14ac:dyDescent="0.25">
      <c r="A123" s="1">
        <v>123</v>
      </c>
      <c r="B123" s="1">
        <v>121</v>
      </c>
      <c r="C123" s="2" t="s">
        <v>132</v>
      </c>
      <c r="D123" s="3" t="s">
        <v>10</v>
      </c>
      <c r="E123" s="1" t="str">
        <f t="shared" ref="E123:E135" si="73">D123</f>
        <v>m</v>
      </c>
      <c r="F123" s="1" t="str">
        <f t="shared" si="66"/>
        <v>A</v>
      </c>
      <c r="G123" s="1" t="str">
        <f t="shared" si="67"/>
        <v>B</v>
      </c>
      <c r="H123" s="1">
        <v>1</v>
      </c>
      <c r="I123" s="1">
        <v>0</v>
      </c>
      <c r="J123" s="8" t="s">
        <v>278</v>
      </c>
      <c r="K123" s="8">
        <v>6</v>
      </c>
      <c r="L123" s="8">
        <v>3</v>
      </c>
      <c r="M123" s="8">
        <v>21.2</v>
      </c>
      <c r="N123" s="8">
        <v>15.2</v>
      </c>
      <c r="O123" s="8">
        <v>1</v>
      </c>
      <c r="P123" s="1" t="s">
        <v>8</v>
      </c>
      <c r="Q123" s="3">
        <v>45665</v>
      </c>
      <c r="R123" s="3">
        <v>45666</v>
      </c>
      <c r="S123" s="3">
        <v>45656</v>
      </c>
      <c r="T123" s="3">
        <v>45657</v>
      </c>
      <c r="U123" s="1">
        <f t="shared" si="68"/>
        <v>9</v>
      </c>
      <c r="V123" s="3">
        <v>45684</v>
      </c>
      <c r="W123" s="1">
        <f t="shared" ref="W123:W135" si="74">_xlfn.DAYS(V123,R123)</f>
        <v>18</v>
      </c>
      <c r="X123" s="3">
        <v>45690</v>
      </c>
      <c r="Y123" s="1">
        <f t="shared" ref="Y123:Y135" si="75">_xlfn.DAYS(X123,R123)</f>
        <v>24</v>
      </c>
      <c r="Z123" s="1">
        <f>_xlfn.DAYS(BK123,X123)</f>
        <v>7</v>
      </c>
      <c r="AB123" s="3">
        <v>45699</v>
      </c>
      <c r="AD123" s="11" t="s">
        <v>86</v>
      </c>
      <c r="AE123" s="11">
        <v>45697</v>
      </c>
      <c r="AF123" s="1">
        <f t="shared" si="57"/>
        <v>31</v>
      </c>
      <c r="AG123" s="8">
        <v>0</v>
      </c>
      <c r="AH123" s="5">
        <v>0.74299999999999999</v>
      </c>
      <c r="AI123" s="1">
        <v>1</v>
      </c>
      <c r="AJ123" s="3">
        <v>45670</v>
      </c>
      <c r="AK123" s="5">
        <f t="shared" ref="AK123:AK135" si="76">AL123-AH123</f>
        <v>7.0339999999999998</v>
      </c>
      <c r="AL123" s="5">
        <v>7.7770000000000001</v>
      </c>
      <c r="AM123" s="8">
        <v>1</v>
      </c>
      <c r="AN123" s="3">
        <f t="shared" ref="AN123:AN135" si="77">V123+1</f>
        <v>45685</v>
      </c>
      <c r="AO123" s="1">
        <v>6.1890000000000001</v>
      </c>
      <c r="AP123" s="8">
        <v>2</v>
      </c>
      <c r="AQ123" s="3">
        <f t="shared" ref="AQ123:AQ135" si="78">X123+1</f>
        <v>45691</v>
      </c>
      <c r="AR123" s="5">
        <f t="shared" ref="AR123:AR135" si="79">AO123-AH123</f>
        <v>5.4459999999999997</v>
      </c>
      <c r="AS123" s="1">
        <v>13</v>
      </c>
      <c r="AT123" s="1">
        <v>23</v>
      </c>
      <c r="AU123" s="1">
        <v>48</v>
      </c>
      <c r="AV123" s="1">
        <f t="shared" ref="AV123:AV145" si="80">AS123+AT123+AU123</f>
        <v>84</v>
      </c>
      <c r="AW123" s="1">
        <v>52</v>
      </c>
      <c r="AX123" s="1">
        <v>172</v>
      </c>
      <c r="AY123" s="1">
        <v>276</v>
      </c>
      <c r="AZ123" s="1">
        <f t="shared" ref="AZ123:AZ135" si="81">SUM(AW123+AX123+AY123)</f>
        <v>500</v>
      </c>
      <c r="BA123" s="1">
        <v>109</v>
      </c>
      <c r="BB123" s="1">
        <v>3</v>
      </c>
      <c r="BC123" s="1">
        <v>0</v>
      </c>
      <c r="BD123" s="1" t="s">
        <v>12</v>
      </c>
      <c r="BE123" s="1" t="s">
        <v>12</v>
      </c>
      <c r="BF123" s="1" t="s">
        <v>12</v>
      </c>
      <c r="BG123" s="1" t="s">
        <v>12</v>
      </c>
      <c r="BH123" s="1" t="s">
        <v>12</v>
      </c>
      <c r="BI123" s="1">
        <f>BA123+BB123+BC123</f>
        <v>112</v>
      </c>
      <c r="BJ123" s="1">
        <f t="shared" ref="BJ123:BJ135" si="82">AV123+AZ123+BI123</f>
        <v>696</v>
      </c>
      <c r="BK123" s="3">
        <v>45697</v>
      </c>
      <c r="BL123" s="6" t="s">
        <v>131</v>
      </c>
      <c r="BM123" s="6"/>
      <c r="BN123" s="6" t="s">
        <v>216</v>
      </c>
      <c r="BO123" s="13">
        <v>54.23</v>
      </c>
      <c r="BP123" s="13">
        <v>5.37</v>
      </c>
      <c r="BQ123" s="1">
        <v>3</v>
      </c>
      <c r="BR123" s="1">
        <v>1</v>
      </c>
      <c r="BS123" s="1">
        <f>BQ123+BR123</f>
        <v>4</v>
      </c>
      <c r="BT123" s="1">
        <v>3</v>
      </c>
      <c r="BU123" s="1">
        <v>0</v>
      </c>
      <c r="BV123" s="1">
        <f>BT123+BU123</f>
        <v>3</v>
      </c>
      <c r="BW123" s="1">
        <v>6</v>
      </c>
      <c r="BX123" s="1">
        <v>0</v>
      </c>
      <c r="BY123" s="1">
        <f>BW123+BX123</f>
        <v>6</v>
      </c>
      <c r="BZ123" s="1">
        <v>5</v>
      </c>
      <c r="CA123" s="1">
        <v>0</v>
      </c>
      <c r="CB123" s="1">
        <f>BZ123+CA123</f>
        <v>5</v>
      </c>
      <c r="CC123" s="1">
        <f>BS123+BV123+BY123+CB123</f>
        <v>18</v>
      </c>
      <c r="CE123" s="7">
        <f>CC123+CD123</f>
        <v>18</v>
      </c>
      <c r="CF123" s="8">
        <v>1</v>
      </c>
      <c r="CG123" s="8">
        <v>0</v>
      </c>
      <c r="CH123" s="8">
        <v>3</v>
      </c>
      <c r="CI123" s="8">
        <v>0</v>
      </c>
      <c r="CJ123" s="8">
        <v>0</v>
      </c>
      <c r="CK123" s="8">
        <v>1</v>
      </c>
      <c r="CL123" s="8">
        <v>0</v>
      </c>
      <c r="CM123" s="8">
        <v>0</v>
      </c>
      <c r="CN123" s="1">
        <f>CF123+CG123+CH123+CI123+CJ123+CK123+CL123+CM123</f>
        <v>5</v>
      </c>
      <c r="CO123" s="1">
        <f>CN123/CE123</f>
        <v>0.27777777777777779</v>
      </c>
      <c r="CP123" s="8">
        <v>1.716</v>
      </c>
      <c r="CQ123" s="8">
        <v>3</v>
      </c>
      <c r="CR123" s="1">
        <f>CP123/CQ123</f>
        <v>0.57199999999999995</v>
      </c>
      <c r="CS123" s="1" t="s">
        <v>12</v>
      </c>
      <c r="CT123" s="8" t="s">
        <v>12</v>
      </c>
      <c r="CU123" s="1" t="s">
        <v>12</v>
      </c>
    </row>
    <row r="124" spans="1:99" x14ac:dyDescent="0.25">
      <c r="A124" s="1">
        <v>124</v>
      </c>
      <c r="B124" s="1">
        <v>122</v>
      </c>
      <c r="C124" s="2" t="s">
        <v>94</v>
      </c>
      <c r="D124" s="3" t="s">
        <v>27</v>
      </c>
      <c r="E124" s="1" t="str">
        <f t="shared" si="73"/>
        <v>f</v>
      </c>
      <c r="F124" s="1" t="str">
        <f t="shared" si="66"/>
        <v>I</v>
      </c>
      <c r="G124" s="1" t="str">
        <f t="shared" si="67"/>
        <v>C</v>
      </c>
      <c r="H124" s="1">
        <v>0</v>
      </c>
      <c r="I124" s="1">
        <v>1</v>
      </c>
      <c r="J124" s="8" t="s">
        <v>278</v>
      </c>
      <c r="K124" s="8">
        <v>6</v>
      </c>
      <c r="L124" s="8">
        <v>3</v>
      </c>
      <c r="M124" s="8">
        <v>21.2</v>
      </c>
      <c r="N124" s="8">
        <v>16.2</v>
      </c>
      <c r="O124" s="8">
        <v>1</v>
      </c>
      <c r="P124" s="1" t="s">
        <v>8</v>
      </c>
      <c r="Q124" s="3">
        <v>45665</v>
      </c>
      <c r="R124" s="3">
        <v>45666</v>
      </c>
      <c r="S124" s="3">
        <v>45656</v>
      </c>
      <c r="T124" s="3">
        <v>45657</v>
      </c>
      <c r="U124" s="1">
        <f t="shared" si="68"/>
        <v>9</v>
      </c>
      <c r="V124" s="3">
        <v>45685</v>
      </c>
      <c r="W124" s="1">
        <f t="shared" si="74"/>
        <v>19</v>
      </c>
      <c r="X124" s="3">
        <v>45691</v>
      </c>
      <c r="Y124" s="1">
        <f t="shared" si="75"/>
        <v>25</v>
      </c>
      <c r="Z124" s="1">
        <f>_xlfn.DAYS(BK124,X124)</f>
        <v>7</v>
      </c>
      <c r="AB124" s="3">
        <v>45704</v>
      </c>
      <c r="AD124" s="11" t="s">
        <v>86</v>
      </c>
      <c r="AE124" s="11">
        <v>45697</v>
      </c>
      <c r="AF124" s="1">
        <f t="shared" si="57"/>
        <v>31</v>
      </c>
      <c r="AG124" s="8">
        <v>0</v>
      </c>
      <c r="AH124" s="5">
        <v>0.624</v>
      </c>
      <c r="AI124" s="1">
        <v>1</v>
      </c>
      <c r="AJ124" s="3">
        <v>45670</v>
      </c>
      <c r="AK124" s="5">
        <f t="shared" si="76"/>
        <v>8.1079999999999988</v>
      </c>
      <c r="AL124" s="5">
        <v>8.7319999999999993</v>
      </c>
      <c r="AM124" s="8">
        <v>1</v>
      </c>
      <c r="AN124" s="3">
        <f t="shared" si="77"/>
        <v>45686</v>
      </c>
      <c r="AO124" s="1">
        <v>9.1649999999999991</v>
      </c>
      <c r="AP124" s="8">
        <v>2</v>
      </c>
      <c r="AQ124" s="3">
        <f t="shared" si="78"/>
        <v>45692</v>
      </c>
      <c r="AR124" s="5">
        <f t="shared" si="79"/>
        <v>8.5409999999999986</v>
      </c>
      <c r="AS124" s="1">
        <v>14</v>
      </c>
      <c r="AT124" s="1">
        <v>16</v>
      </c>
      <c r="AU124" s="1">
        <v>51</v>
      </c>
      <c r="AV124" s="1">
        <f t="shared" si="80"/>
        <v>81</v>
      </c>
      <c r="AW124" s="1">
        <v>83</v>
      </c>
      <c r="AX124" s="1">
        <v>56</v>
      </c>
      <c r="AY124" s="1">
        <v>256</v>
      </c>
      <c r="AZ124" s="1">
        <f t="shared" si="81"/>
        <v>395</v>
      </c>
      <c r="BA124" s="1">
        <v>204</v>
      </c>
      <c r="BB124" s="1">
        <v>33</v>
      </c>
      <c r="BC124" s="1">
        <v>4</v>
      </c>
      <c r="BD124" s="1">
        <v>0</v>
      </c>
      <c r="BE124" s="1" t="s">
        <v>12</v>
      </c>
      <c r="BF124" s="1" t="s">
        <v>12</v>
      </c>
      <c r="BG124" s="1" t="s">
        <v>12</v>
      </c>
      <c r="BH124" s="1" t="s">
        <v>12</v>
      </c>
      <c r="BI124" s="1">
        <f>BA124+BB124+BC124+BD124</f>
        <v>241</v>
      </c>
      <c r="BJ124" s="1">
        <f t="shared" si="82"/>
        <v>717</v>
      </c>
      <c r="BK124" s="3">
        <v>45698</v>
      </c>
      <c r="BL124" s="6"/>
      <c r="BM124" s="6" t="s">
        <v>93</v>
      </c>
      <c r="BN124" s="6" t="s">
        <v>220</v>
      </c>
      <c r="BO124" s="13">
        <v>0</v>
      </c>
      <c r="BP124" s="13">
        <v>60</v>
      </c>
      <c r="BQ124" s="1">
        <v>3</v>
      </c>
      <c r="BR124" s="1">
        <v>0</v>
      </c>
      <c r="BS124" s="1">
        <f>BQ124+BR124</f>
        <v>3</v>
      </c>
      <c r="BT124" s="1">
        <v>16</v>
      </c>
      <c r="BU124" s="1">
        <v>0</v>
      </c>
      <c r="BV124" s="1">
        <f>BT124+BU124</f>
        <v>16</v>
      </c>
      <c r="BW124" s="1">
        <v>16</v>
      </c>
      <c r="BX124" s="1">
        <v>0</v>
      </c>
      <c r="BY124" s="1">
        <f>BW124+BX124</f>
        <v>16</v>
      </c>
      <c r="BZ124" s="1">
        <v>16</v>
      </c>
      <c r="CA124" s="1">
        <v>0</v>
      </c>
      <c r="CB124" s="1">
        <f>BZ124+CA124</f>
        <v>16</v>
      </c>
      <c r="CC124" s="1">
        <f>BS124+BV124+BY124+CB124</f>
        <v>51</v>
      </c>
      <c r="CE124" s="7">
        <f>CC124+CD124</f>
        <v>51</v>
      </c>
      <c r="CF124" s="8">
        <v>1</v>
      </c>
      <c r="CG124" s="8">
        <v>7</v>
      </c>
      <c r="CH124" s="8">
        <v>14</v>
      </c>
      <c r="CI124" s="8">
        <v>23</v>
      </c>
      <c r="CJ124" s="8">
        <v>2</v>
      </c>
      <c r="CK124" s="8">
        <v>0</v>
      </c>
      <c r="CL124" s="8">
        <v>0</v>
      </c>
      <c r="CM124" s="8">
        <v>0</v>
      </c>
      <c r="CN124" s="1">
        <f>CF124+CG124+CH124+CI124+CJ124+CK124+CL124+CM124</f>
        <v>47</v>
      </c>
      <c r="CO124" s="1">
        <f>CN124/CE124</f>
        <v>0.92156862745098034</v>
      </c>
      <c r="CP124" s="8">
        <v>4.6399999999999997</v>
      </c>
      <c r="CQ124" s="8">
        <v>5</v>
      </c>
      <c r="CR124" s="1">
        <f>CP124/CQ124</f>
        <v>0.92799999999999994</v>
      </c>
      <c r="CS124" s="1">
        <v>4.1980000000000004</v>
      </c>
      <c r="CT124" s="8">
        <v>5</v>
      </c>
      <c r="CU124" s="1">
        <f>CS124/CT124</f>
        <v>0.83960000000000012</v>
      </c>
    </row>
    <row r="125" spans="1:99" x14ac:dyDescent="0.25">
      <c r="A125" s="1">
        <v>125</v>
      </c>
      <c r="B125" s="1">
        <v>123</v>
      </c>
      <c r="C125" s="2" t="s">
        <v>75</v>
      </c>
      <c r="D125" s="3" t="s">
        <v>10</v>
      </c>
      <c r="E125" s="1" t="str">
        <f t="shared" si="73"/>
        <v>m</v>
      </c>
      <c r="F125" s="1" t="str">
        <f t="shared" si="66"/>
        <v>C</v>
      </c>
      <c r="G125" s="1" t="str">
        <f t="shared" si="67"/>
        <v>A</v>
      </c>
      <c r="H125" s="1">
        <v>0</v>
      </c>
      <c r="I125" s="1">
        <v>0</v>
      </c>
      <c r="J125" s="8" t="s">
        <v>278</v>
      </c>
      <c r="K125" s="8">
        <v>6</v>
      </c>
      <c r="L125" s="8">
        <v>3</v>
      </c>
      <c r="M125" s="8">
        <v>21.2</v>
      </c>
      <c r="N125" s="8">
        <v>17.2</v>
      </c>
      <c r="O125" s="8">
        <v>1</v>
      </c>
      <c r="P125" s="1" t="s">
        <v>8</v>
      </c>
      <c r="Q125" s="3">
        <v>45665</v>
      </c>
      <c r="R125" s="3">
        <v>45666</v>
      </c>
      <c r="S125" s="3">
        <v>45656</v>
      </c>
      <c r="T125" s="3">
        <v>45657</v>
      </c>
      <c r="U125" s="1">
        <f t="shared" si="68"/>
        <v>9</v>
      </c>
      <c r="V125" s="3">
        <v>45683</v>
      </c>
      <c r="W125" s="1">
        <f t="shared" si="74"/>
        <v>17</v>
      </c>
      <c r="X125" s="3">
        <v>45688</v>
      </c>
      <c r="Y125" s="1">
        <f t="shared" si="75"/>
        <v>22</v>
      </c>
      <c r="Z125" s="1">
        <f>_xlfn.DAYS(BK125,X125)</f>
        <v>8</v>
      </c>
      <c r="AB125" s="3">
        <v>45698</v>
      </c>
      <c r="AD125" s="11" t="s">
        <v>86</v>
      </c>
      <c r="AE125" s="11">
        <v>45697</v>
      </c>
      <c r="AF125" s="1">
        <f t="shared" ref="AF125:AF145" si="83">_xlfn.DAYS(AE125,R125)</f>
        <v>31</v>
      </c>
      <c r="AG125" s="8">
        <v>0</v>
      </c>
      <c r="AH125" s="5">
        <v>1.236</v>
      </c>
      <c r="AI125" s="1">
        <v>1</v>
      </c>
      <c r="AJ125" s="3">
        <v>45670</v>
      </c>
      <c r="AK125" s="5">
        <f t="shared" si="76"/>
        <v>6.19</v>
      </c>
      <c r="AL125" s="5">
        <v>7.4260000000000002</v>
      </c>
      <c r="AM125" s="1">
        <v>2</v>
      </c>
      <c r="AN125" s="3">
        <f t="shared" si="77"/>
        <v>45684</v>
      </c>
      <c r="AO125" s="1">
        <v>6.7350000000000003</v>
      </c>
      <c r="AP125" s="8">
        <v>2</v>
      </c>
      <c r="AQ125" s="3">
        <f t="shared" si="78"/>
        <v>45689</v>
      </c>
      <c r="AR125" s="5">
        <f t="shared" si="79"/>
        <v>5.4990000000000006</v>
      </c>
      <c r="AS125" s="1">
        <v>17</v>
      </c>
      <c r="AT125" s="1">
        <v>51</v>
      </c>
      <c r="AU125" s="1">
        <v>94</v>
      </c>
      <c r="AV125" s="1">
        <f t="shared" si="80"/>
        <v>162</v>
      </c>
      <c r="AW125" s="1">
        <v>168</v>
      </c>
      <c r="AX125" s="1">
        <v>314</v>
      </c>
      <c r="AY125" s="1">
        <v>125</v>
      </c>
      <c r="AZ125" s="1">
        <f t="shared" si="81"/>
        <v>607</v>
      </c>
      <c r="BA125" s="1">
        <v>0</v>
      </c>
      <c r="BB125" s="1">
        <v>0</v>
      </c>
      <c r="BC125" s="1">
        <v>0</v>
      </c>
      <c r="BD125" s="1" t="s">
        <v>12</v>
      </c>
      <c r="BE125" s="1" t="s">
        <v>12</v>
      </c>
      <c r="BF125" s="1" t="s">
        <v>12</v>
      </c>
      <c r="BG125" s="1" t="s">
        <v>12</v>
      </c>
      <c r="BH125" s="1" t="s">
        <v>12</v>
      </c>
      <c r="BI125" s="1">
        <f>BA125+BB125+BC125</f>
        <v>0</v>
      </c>
      <c r="BJ125" s="1">
        <f t="shared" si="82"/>
        <v>769</v>
      </c>
      <c r="BK125" s="3">
        <v>45696</v>
      </c>
      <c r="BL125" s="6" t="s">
        <v>74</v>
      </c>
      <c r="BM125" s="6"/>
      <c r="BN125" s="6" t="s">
        <v>205</v>
      </c>
      <c r="BO125" s="13">
        <v>40.32</v>
      </c>
      <c r="BP125" s="13">
        <v>19.28</v>
      </c>
      <c r="BQ125" s="1">
        <v>6</v>
      </c>
      <c r="BR125" s="1">
        <v>0</v>
      </c>
      <c r="BS125" s="1">
        <f>BQ125+BR125</f>
        <v>6</v>
      </c>
      <c r="BT125" s="1">
        <v>10</v>
      </c>
      <c r="BU125" s="1">
        <v>0</v>
      </c>
      <c r="BV125" s="1">
        <f>BT125+BU125</f>
        <v>10</v>
      </c>
      <c r="BW125" s="1">
        <v>6</v>
      </c>
      <c r="BX125" s="1">
        <v>0</v>
      </c>
      <c r="BY125" s="1">
        <f>BW125+BX125</f>
        <v>6</v>
      </c>
      <c r="BZ125" s="1">
        <v>8</v>
      </c>
      <c r="CA125" s="1">
        <v>0</v>
      </c>
      <c r="CB125" s="1">
        <f>BZ125+CA125</f>
        <v>8</v>
      </c>
      <c r="CC125" s="1">
        <f>BS125+BV125+BY125+CB125</f>
        <v>30</v>
      </c>
      <c r="CE125" s="7">
        <f>CC125+CD125</f>
        <v>30</v>
      </c>
      <c r="CF125" s="8">
        <v>3</v>
      </c>
      <c r="CG125" s="8">
        <v>6</v>
      </c>
      <c r="CH125" s="8">
        <v>8</v>
      </c>
      <c r="CI125" s="8">
        <v>5</v>
      </c>
      <c r="CJ125" s="8">
        <v>4</v>
      </c>
      <c r="CK125" s="8">
        <v>1</v>
      </c>
      <c r="CL125" s="8">
        <v>0</v>
      </c>
      <c r="CM125" s="8">
        <v>0</v>
      </c>
      <c r="CN125" s="1">
        <f>CF125+CG125+CH125+CI125+CJ125+CK125+CL125+CM125</f>
        <v>27</v>
      </c>
      <c r="CO125" s="1">
        <f>CN125/CE125</f>
        <v>0.9</v>
      </c>
      <c r="CP125" s="8">
        <v>4.9569999999999999</v>
      </c>
      <c r="CQ125" s="8">
        <v>5</v>
      </c>
      <c r="CR125" s="1">
        <f>CP125/CQ125</f>
        <v>0.99139999999999995</v>
      </c>
      <c r="CS125" s="1">
        <v>2.87</v>
      </c>
      <c r="CT125" s="8">
        <v>3</v>
      </c>
      <c r="CU125" s="1">
        <f>CS125/CT125</f>
        <v>0.95666666666666667</v>
      </c>
    </row>
    <row r="126" spans="1:99" x14ac:dyDescent="0.25">
      <c r="A126" s="1">
        <v>126</v>
      </c>
      <c r="B126" s="1">
        <v>124</v>
      </c>
      <c r="C126" s="2" t="s">
        <v>142</v>
      </c>
      <c r="D126" s="3" t="s">
        <v>10</v>
      </c>
      <c r="E126" s="1" t="str">
        <f t="shared" si="73"/>
        <v>m</v>
      </c>
      <c r="F126" s="1" t="str">
        <f t="shared" si="66"/>
        <v>A</v>
      </c>
      <c r="G126" s="1" t="str">
        <f t="shared" si="67"/>
        <v>B</v>
      </c>
      <c r="H126" s="1">
        <v>1</v>
      </c>
      <c r="I126" s="1">
        <v>0</v>
      </c>
      <c r="J126" s="8" t="s">
        <v>278</v>
      </c>
      <c r="K126" s="8">
        <v>6</v>
      </c>
      <c r="L126" s="8">
        <v>3</v>
      </c>
      <c r="M126" s="8">
        <v>22.2</v>
      </c>
      <c r="N126" s="8">
        <v>17.2</v>
      </c>
      <c r="O126" s="8">
        <v>1</v>
      </c>
      <c r="P126" s="1" t="s">
        <v>8</v>
      </c>
      <c r="Q126" s="3">
        <v>45665</v>
      </c>
      <c r="R126" s="3">
        <v>45666</v>
      </c>
      <c r="S126" s="3">
        <v>45656</v>
      </c>
      <c r="T126" s="3">
        <v>45657</v>
      </c>
      <c r="U126" s="1">
        <f t="shared" si="68"/>
        <v>9</v>
      </c>
      <c r="V126" s="3">
        <v>45684</v>
      </c>
      <c r="W126" s="1">
        <f t="shared" si="74"/>
        <v>18</v>
      </c>
      <c r="X126" s="3">
        <v>45690</v>
      </c>
      <c r="Y126" s="1">
        <f t="shared" si="75"/>
        <v>24</v>
      </c>
      <c r="Z126" s="1">
        <f>_xlfn.DAYS(BK126,X126)</f>
        <v>7</v>
      </c>
      <c r="AB126" s="3">
        <v>45699</v>
      </c>
      <c r="AD126" s="11" t="s">
        <v>86</v>
      </c>
      <c r="AE126" s="11">
        <v>45697</v>
      </c>
      <c r="AF126" s="1">
        <f t="shared" si="83"/>
        <v>31</v>
      </c>
      <c r="AG126" s="8">
        <v>0</v>
      </c>
      <c r="AH126" s="5">
        <v>0.503</v>
      </c>
      <c r="AI126" s="1">
        <v>1</v>
      </c>
      <c r="AJ126" s="3">
        <v>45670</v>
      </c>
      <c r="AK126" s="5">
        <f t="shared" si="76"/>
        <v>6.7389999999999999</v>
      </c>
      <c r="AL126" s="5">
        <v>7.242</v>
      </c>
      <c r="AM126" s="1">
        <v>1</v>
      </c>
      <c r="AN126" s="3">
        <f t="shared" si="77"/>
        <v>45685</v>
      </c>
      <c r="AO126" s="1">
        <v>7.0709999999999997</v>
      </c>
      <c r="AP126" s="8">
        <v>2</v>
      </c>
      <c r="AQ126" s="3">
        <f t="shared" si="78"/>
        <v>45691</v>
      </c>
      <c r="AR126" s="5">
        <f t="shared" si="79"/>
        <v>6.5679999999999996</v>
      </c>
      <c r="AS126" s="1">
        <v>7</v>
      </c>
      <c r="AT126" s="1">
        <v>19</v>
      </c>
      <c r="AU126" s="1">
        <v>34</v>
      </c>
      <c r="AV126" s="1">
        <f t="shared" si="80"/>
        <v>60</v>
      </c>
      <c r="AW126" s="1">
        <v>27</v>
      </c>
      <c r="AX126" s="1">
        <v>96</v>
      </c>
      <c r="AY126" s="1">
        <v>255</v>
      </c>
      <c r="AZ126" s="1">
        <f t="shared" si="81"/>
        <v>378</v>
      </c>
      <c r="BA126" s="1">
        <v>94</v>
      </c>
      <c r="BB126" s="1">
        <v>9</v>
      </c>
      <c r="BC126" s="1">
        <v>0</v>
      </c>
      <c r="BD126" s="1" t="s">
        <v>12</v>
      </c>
      <c r="BE126" s="1" t="s">
        <v>12</v>
      </c>
      <c r="BF126" s="1" t="s">
        <v>12</v>
      </c>
      <c r="BG126" s="1" t="s">
        <v>12</v>
      </c>
      <c r="BH126" s="1" t="s">
        <v>12</v>
      </c>
      <c r="BI126" s="1">
        <f>BA126+BB126+BC126</f>
        <v>103</v>
      </c>
      <c r="BJ126" s="1">
        <f t="shared" si="82"/>
        <v>541</v>
      </c>
      <c r="BK126" s="3">
        <v>45697</v>
      </c>
      <c r="BL126" s="6" t="s">
        <v>143</v>
      </c>
      <c r="BM126" s="6"/>
      <c r="BN126" s="6" t="s">
        <v>217</v>
      </c>
      <c r="BO126" s="13">
        <v>0</v>
      </c>
      <c r="BP126" s="13">
        <v>60</v>
      </c>
      <c r="BQ126" s="1">
        <v>6</v>
      </c>
      <c r="BR126" s="1">
        <v>1</v>
      </c>
      <c r="BS126" s="1">
        <f>BQ126+BR126</f>
        <v>7</v>
      </c>
      <c r="BT126" s="1">
        <v>6</v>
      </c>
      <c r="BU126" s="1">
        <v>0</v>
      </c>
      <c r="BV126" s="1">
        <f>BT126+BU126</f>
        <v>6</v>
      </c>
      <c r="BW126" s="1">
        <v>6</v>
      </c>
      <c r="BX126" s="1">
        <v>1</v>
      </c>
      <c r="BY126" s="1">
        <f>BW126+BX126</f>
        <v>7</v>
      </c>
      <c r="BZ126" s="1">
        <v>10</v>
      </c>
      <c r="CA126" s="1">
        <v>2</v>
      </c>
      <c r="CB126" s="1">
        <f>BZ126+CA126</f>
        <v>12</v>
      </c>
      <c r="CC126" s="1">
        <f>BS126+BV126+BY126+CB126</f>
        <v>32</v>
      </c>
      <c r="CD126" s="1">
        <f>CN126-CC126</f>
        <v>7</v>
      </c>
      <c r="CE126" s="7">
        <f>CC126+CD126</f>
        <v>39</v>
      </c>
      <c r="CF126" s="8">
        <v>2</v>
      </c>
      <c r="CG126" s="8">
        <v>8</v>
      </c>
      <c r="CH126" s="8">
        <v>7</v>
      </c>
      <c r="CI126" s="8">
        <v>12</v>
      </c>
      <c r="CJ126" s="8">
        <v>9</v>
      </c>
      <c r="CK126" s="8">
        <v>1</v>
      </c>
      <c r="CL126" s="8">
        <v>0</v>
      </c>
      <c r="CM126" s="8">
        <v>0</v>
      </c>
      <c r="CN126" s="1">
        <f>CF126+CG126+CH126+CI126+CJ126+CK126+CL126+CM126</f>
        <v>39</v>
      </c>
      <c r="CO126" s="1">
        <f>CN126/CE126</f>
        <v>1</v>
      </c>
      <c r="CP126" s="8">
        <v>3.8260000000000001</v>
      </c>
      <c r="CQ126" s="8">
        <v>5</v>
      </c>
      <c r="CR126" s="1">
        <f>CP126/CQ126</f>
        <v>0.76519999999999999</v>
      </c>
      <c r="CS126" s="1">
        <v>3.4329999999999998</v>
      </c>
      <c r="CT126" s="8">
        <v>4</v>
      </c>
      <c r="CU126" s="1">
        <f>CS126/CT126</f>
        <v>0.85824999999999996</v>
      </c>
    </row>
    <row r="127" spans="1:99" x14ac:dyDescent="0.25">
      <c r="A127" s="1">
        <v>127</v>
      </c>
      <c r="B127" s="1">
        <v>125</v>
      </c>
      <c r="C127" s="2" t="s">
        <v>144</v>
      </c>
      <c r="D127" s="3" t="s">
        <v>27</v>
      </c>
      <c r="E127" s="1" t="str">
        <f t="shared" si="73"/>
        <v>f</v>
      </c>
      <c r="F127" s="1" t="str">
        <f t="shared" si="66"/>
        <v>C</v>
      </c>
      <c r="G127" s="1" t="str">
        <f t="shared" si="67"/>
        <v>A</v>
      </c>
      <c r="H127" s="1">
        <v>0</v>
      </c>
      <c r="I127" s="1">
        <v>0</v>
      </c>
      <c r="J127" s="8" t="s">
        <v>278</v>
      </c>
      <c r="K127" s="8">
        <v>6</v>
      </c>
      <c r="L127" s="8">
        <v>3</v>
      </c>
      <c r="M127" s="8">
        <v>22.2</v>
      </c>
      <c r="N127" s="8">
        <v>16.2</v>
      </c>
      <c r="O127" s="8">
        <v>1</v>
      </c>
      <c r="P127" s="1" t="s">
        <v>8</v>
      </c>
      <c r="Q127" s="3">
        <v>45665</v>
      </c>
      <c r="R127" s="3">
        <v>45666</v>
      </c>
      <c r="S127" s="3">
        <v>45656</v>
      </c>
      <c r="T127" s="3">
        <v>45657</v>
      </c>
      <c r="U127" s="1">
        <f t="shared" si="68"/>
        <v>9</v>
      </c>
      <c r="V127" s="3">
        <v>45683</v>
      </c>
      <c r="W127" s="1">
        <f t="shared" si="74"/>
        <v>17</v>
      </c>
      <c r="X127" s="3">
        <v>45689</v>
      </c>
      <c r="Y127" s="1">
        <f t="shared" si="75"/>
        <v>23</v>
      </c>
      <c r="AB127" s="3">
        <v>45698</v>
      </c>
      <c r="AD127" s="11" t="s">
        <v>86</v>
      </c>
      <c r="AE127" s="11">
        <v>45697</v>
      </c>
      <c r="AF127" s="1">
        <f t="shared" si="83"/>
        <v>31</v>
      </c>
      <c r="AG127" s="8">
        <v>0</v>
      </c>
      <c r="AH127" s="5">
        <v>1.101</v>
      </c>
      <c r="AI127" s="1">
        <v>1</v>
      </c>
      <c r="AJ127" s="3">
        <v>45670</v>
      </c>
      <c r="AK127" s="5">
        <f t="shared" si="76"/>
        <v>7.9249999999999998</v>
      </c>
      <c r="AL127" s="5">
        <v>9.0259999999999998</v>
      </c>
      <c r="AM127" s="1">
        <v>2</v>
      </c>
      <c r="AN127" s="3">
        <f t="shared" si="77"/>
        <v>45684</v>
      </c>
      <c r="AO127" s="1">
        <v>9.1859999999999999</v>
      </c>
      <c r="AP127" s="8">
        <v>2</v>
      </c>
      <c r="AQ127" s="3">
        <f t="shared" si="78"/>
        <v>45690</v>
      </c>
      <c r="AR127" s="5">
        <f t="shared" si="79"/>
        <v>8.0850000000000009</v>
      </c>
      <c r="AS127" s="1">
        <v>19</v>
      </c>
      <c r="AT127" s="1">
        <v>32</v>
      </c>
      <c r="AU127" s="1">
        <v>81</v>
      </c>
      <c r="AV127" s="1">
        <f t="shared" si="80"/>
        <v>132</v>
      </c>
      <c r="AW127" s="1">
        <v>103</v>
      </c>
      <c r="AX127" s="1">
        <v>237</v>
      </c>
      <c r="AY127" s="1">
        <v>290</v>
      </c>
      <c r="AZ127" s="1">
        <f t="shared" si="81"/>
        <v>630</v>
      </c>
      <c r="BA127" s="1">
        <v>49</v>
      </c>
      <c r="BB127" s="1">
        <v>0</v>
      </c>
      <c r="BC127" s="1">
        <v>0</v>
      </c>
      <c r="BD127" s="1" t="s">
        <v>12</v>
      </c>
      <c r="BE127" s="1" t="s">
        <v>12</v>
      </c>
      <c r="BF127" s="1" t="s">
        <v>12</v>
      </c>
      <c r="BG127" s="1" t="s">
        <v>12</v>
      </c>
      <c r="BH127" s="1" t="s">
        <v>12</v>
      </c>
      <c r="BI127" s="1">
        <f>BA127+BB127+BC127</f>
        <v>49</v>
      </c>
      <c r="BJ127" s="1">
        <f t="shared" si="82"/>
        <v>811</v>
      </c>
      <c r="BK127" s="3" t="s">
        <v>12</v>
      </c>
      <c r="BL127" s="10" t="s">
        <v>12</v>
      </c>
      <c r="BM127" s="10" t="s">
        <v>12</v>
      </c>
      <c r="BN127" s="14" t="s">
        <v>12</v>
      </c>
      <c r="BO127" s="13" t="s">
        <v>12</v>
      </c>
      <c r="BP127" s="13" t="s">
        <v>12</v>
      </c>
      <c r="BQ127" s="13" t="s">
        <v>12</v>
      </c>
      <c r="BR127" s="13" t="s">
        <v>12</v>
      </c>
      <c r="BS127" s="13" t="s">
        <v>12</v>
      </c>
      <c r="BT127" s="13" t="s">
        <v>12</v>
      </c>
      <c r="BU127" s="13" t="s">
        <v>12</v>
      </c>
      <c r="BV127" s="13" t="s">
        <v>12</v>
      </c>
      <c r="BW127" s="13" t="s">
        <v>12</v>
      </c>
      <c r="BX127" s="13" t="s">
        <v>12</v>
      </c>
      <c r="BY127" s="13" t="s">
        <v>12</v>
      </c>
      <c r="BZ127" s="13" t="s">
        <v>12</v>
      </c>
      <c r="CA127" s="13" t="s">
        <v>12</v>
      </c>
      <c r="CB127" s="13" t="s">
        <v>12</v>
      </c>
      <c r="CC127" s="13" t="s">
        <v>12</v>
      </c>
      <c r="CD127" s="13"/>
      <c r="CE127" s="13" t="s">
        <v>12</v>
      </c>
      <c r="CF127" s="13" t="s">
        <v>12</v>
      </c>
      <c r="CG127" s="13" t="s">
        <v>12</v>
      </c>
      <c r="CH127" s="13" t="s">
        <v>12</v>
      </c>
      <c r="CI127" s="13" t="s">
        <v>12</v>
      </c>
      <c r="CJ127" s="13" t="s">
        <v>12</v>
      </c>
      <c r="CK127" s="13" t="s">
        <v>12</v>
      </c>
      <c r="CL127" s="13" t="s">
        <v>12</v>
      </c>
      <c r="CM127" s="13" t="s">
        <v>12</v>
      </c>
      <c r="CN127" s="13" t="s">
        <v>12</v>
      </c>
      <c r="CO127" s="13" t="s">
        <v>12</v>
      </c>
    </row>
    <row r="128" spans="1:99" x14ac:dyDescent="0.25">
      <c r="A128" s="1">
        <v>128</v>
      </c>
      <c r="B128" s="1">
        <v>126</v>
      </c>
      <c r="C128" s="2" t="s">
        <v>145</v>
      </c>
      <c r="D128" s="3" t="s">
        <v>27</v>
      </c>
      <c r="E128" s="1" t="str">
        <f t="shared" si="73"/>
        <v>f</v>
      </c>
      <c r="F128" s="1" t="str">
        <f t="shared" si="66"/>
        <v>M</v>
      </c>
      <c r="G128" s="1" t="str">
        <f t="shared" si="67"/>
        <v>D</v>
      </c>
      <c r="H128" s="1">
        <v>1</v>
      </c>
      <c r="I128" s="1">
        <v>1</v>
      </c>
      <c r="J128" s="8" t="s">
        <v>276</v>
      </c>
      <c r="K128" s="8">
        <v>6</v>
      </c>
      <c r="L128" s="8">
        <v>3</v>
      </c>
      <c r="M128" s="8">
        <v>22.2</v>
      </c>
      <c r="N128" s="8">
        <v>15.2</v>
      </c>
      <c r="O128" s="8">
        <v>1</v>
      </c>
      <c r="P128" s="1" t="s">
        <v>8</v>
      </c>
      <c r="Q128" s="3">
        <v>45665</v>
      </c>
      <c r="R128" s="3">
        <v>45666</v>
      </c>
      <c r="S128" s="3">
        <v>45656</v>
      </c>
      <c r="T128" s="3">
        <v>45657</v>
      </c>
      <c r="U128" s="1">
        <f t="shared" si="68"/>
        <v>9</v>
      </c>
      <c r="V128" s="3">
        <v>45688</v>
      </c>
      <c r="W128" s="1">
        <f t="shared" si="74"/>
        <v>22</v>
      </c>
      <c r="X128" s="3">
        <v>45693</v>
      </c>
      <c r="Y128" s="1">
        <f t="shared" si="75"/>
        <v>27</v>
      </c>
      <c r="Z128" s="1">
        <f>_xlfn.DAYS(BK128,X128)</f>
        <v>7</v>
      </c>
      <c r="AB128" s="3">
        <v>45706</v>
      </c>
      <c r="AD128" s="11" t="s">
        <v>86</v>
      </c>
      <c r="AE128" s="11">
        <v>45697</v>
      </c>
      <c r="AF128" s="1">
        <f t="shared" si="83"/>
        <v>31</v>
      </c>
      <c r="AG128" s="8">
        <v>0</v>
      </c>
      <c r="AH128" s="5">
        <v>0.50800000000000001</v>
      </c>
      <c r="AI128" s="1">
        <v>1</v>
      </c>
      <c r="AJ128" s="3">
        <v>45670</v>
      </c>
      <c r="AK128" s="5">
        <f t="shared" si="76"/>
        <v>6.7309999999999999</v>
      </c>
      <c r="AL128" s="5">
        <v>7.2389999999999999</v>
      </c>
      <c r="AM128" s="1">
        <v>2</v>
      </c>
      <c r="AN128" s="3">
        <f t="shared" si="77"/>
        <v>45689</v>
      </c>
      <c r="AO128" s="1">
        <v>6.548</v>
      </c>
      <c r="AP128" s="8">
        <v>1</v>
      </c>
      <c r="AQ128" s="3">
        <f t="shared" si="78"/>
        <v>45694</v>
      </c>
      <c r="AR128" s="5">
        <f t="shared" si="79"/>
        <v>6.04</v>
      </c>
      <c r="AS128" s="1">
        <v>10</v>
      </c>
      <c r="AT128" s="1">
        <v>13</v>
      </c>
      <c r="AU128" s="1">
        <v>47</v>
      </c>
      <c r="AV128" s="1">
        <f t="shared" si="80"/>
        <v>70</v>
      </c>
      <c r="AW128" s="1">
        <v>32</v>
      </c>
      <c r="AX128" s="1">
        <v>15</v>
      </c>
      <c r="AY128" s="1">
        <v>95</v>
      </c>
      <c r="AZ128" s="1">
        <f t="shared" si="81"/>
        <v>142</v>
      </c>
      <c r="BA128" s="1">
        <v>198</v>
      </c>
      <c r="BB128" s="1">
        <v>236</v>
      </c>
      <c r="BC128" s="1">
        <v>18</v>
      </c>
      <c r="BD128" s="1">
        <v>0</v>
      </c>
      <c r="BE128" s="1" t="s">
        <v>12</v>
      </c>
      <c r="BF128" s="1" t="s">
        <v>12</v>
      </c>
      <c r="BG128" s="1" t="s">
        <v>12</v>
      </c>
      <c r="BH128" s="1" t="s">
        <v>12</v>
      </c>
      <c r="BI128" s="1">
        <f>BA128+BB128+BC128+BD128</f>
        <v>452</v>
      </c>
      <c r="BJ128" s="1">
        <f t="shared" si="82"/>
        <v>664</v>
      </c>
      <c r="BK128" s="3">
        <v>45700</v>
      </c>
      <c r="BL128" s="3"/>
      <c r="BM128" s="6" t="s">
        <v>146</v>
      </c>
      <c r="BN128" s="6" t="s">
        <v>223</v>
      </c>
      <c r="BO128" s="13">
        <v>30.4</v>
      </c>
      <c r="BP128" s="13">
        <v>29.2</v>
      </c>
      <c r="BQ128" s="1">
        <v>6</v>
      </c>
      <c r="BR128" s="1">
        <v>0</v>
      </c>
      <c r="BS128" s="1">
        <f>BQ128+BR128</f>
        <v>6</v>
      </c>
      <c r="BT128" s="1">
        <v>7</v>
      </c>
      <c r="BU128" s="1">
        <v>0</v>
      </c>
      <c r="BV128" s="1">
        <f>BT128+BU128</f>
        <v>7</v>
      </c>
      <c r="BW128" s="1">
        <v>8</v>
      </c>
      <c r="BX128" s="1">
        <v>0</v>
      </c>
      <c r="BY128" s="1">
        <f>BW128+BX128</f>
        <v>8</v>
      </c>
      <c r="BZ128" s="1">
        <v>5</v>
      </c>
      <c r="CA128" s="1">
        <v>0</v>
      </c>
      <c r="CB128" s="1">
        <f>BZ128+CA128</f>
        <v>5</v>
      </c>
      <c r="CC128" s="1">
        <f>BS128+BV128+BY128+CB128</f>
        <v>26</v>
      </c>
      <c r="CE128" s="7">
        <f>CC128+CD128</f>
        <v>26</v>
      </c>
      <c r="CF128" s="8">
        <v>4</v>
      </c>
      <c r="CG128" s="8">
        <v>9</v>
      </c>
      <c r="CH128" s="8">
        <v>0</v>
      </c>
      <c r="CI128" s="8">
        <v>6</v>
      </c>
      <c r="CJ128" s="8">
        <v>1</v>
      </c>
      <c r="CK128" s="8">
        <v>0</v>
      </c>
      <c r="CL128" s="8">
        <v>0</v>
      </c>
      <c r="CM128" s="8">
        <v>0</v>
      </c>
      <c r="CN128" s="1">
        <f>CF128+CG128+CH128+CI128+CJ128+CK128+CL128+CM128</f>
        <v>20</v>
      </c>
      <c r="CO128" s="1">
        <f>CN128/CE128</f>
        <v>0.76923076923076927</v>
      </c>
      <c r="CP128" s="1" t="s">
        <v>12</v>
      </c>
      <c r="CQ128" s="8" t="s">
        <v>12</v>
      </c>
      <c r="CR128" s="1" t="s">
        <v>12</v>
      </c>
      <c r="CS128" s="1">
        <v>3.5539999999999998</v>
      </c>
      <c r="CT128" s="8">
        <v>5</v>
      </c>
      <c r="CU128" s="1">
        <f>CS128/CT128</f>
        <v>0.71079999999999999</v>
      </c>
    </row>
    <row r="129" spans="1:99" x14ac:dyDescent="0.25">
      <c r="A129" s="1">
        <v>129</v>
      </c>
      <c r="B129" s="1">
        <v>127</v>
      </c>
      <c r="C129" s="2" t="s">
        <v>23</v>
      </c>
      <c r="D129" s="3" t="s">
        <v>27</v>
      </c>
      <c r="E129" s="1" t="str">
        <f t="shared" si="73"/>
        <v>f</v>
      </c>
      <c r="F129" s="1" t="str">
        <f t="shared" si="66"/>
        <v>I</v>
      </c>
      <c r="G129" s="1" t="str">
        <f t="shared" si="67"/>
        <v>C</v>
      </c>
      <c r="H129" s="1">
        <v>0</v>
      </c>
      <c r="I129" s="1">
        <v>1</v>
      </c>
      <c r="J129" s="8" t="s">
        <v>278</v>
      </c>
      <c r="K129" s="8">
        <v>6</v>
      </c>
      <c r="L129" s="8">
        <v>3</v>
      </c>
      <c r="M129" s="8">
        <v>22.2</v>
      </c>
      <c r="N129" s="8">
        <v>14.2</v>
      </c>
      <c r="O129" s="8">
        <v>1</v>
      </c>
      <c r="P129" s="1" t="s">
        <v>8</v>
      </c>
      <c r="Q129" s="3">
        <v>45665</v>
      </c>
      <c r="R129" s="3">
        <v>45666</v>
      </c>
      <c r="S129" s="3">
        <v>45656</v>
      </c>
      <c r="T129" s="3">
        <v>45657</v>
      </c>
      <c r="U129" s="1">
        <f t="shared" si="68"/>
        <v>9</v>
      </c>
      <c r="V129" s="3">
        <v>45685</v>
      </c>
      <c r="W129" s="1">
        <f t="shared" si="74"/>
        <v>19</v>
      </c>
      <c r="X129" s="3">
        <v>45690</v>
      </c>
      <c r="Y129" s="1">
        <f t="shared" si="75"/>
        <v>24</v>
      </c>
      <c r="Z129" s="1">
        <f>_xlfn.DAYS(BK129,X129)</f>
        <v>7</v>
      </c>
      <c r="AB129" s="3">
        <v>45704</v>
      </c>
      <c r="AD129" s="11" t="s">
        <v>86</v>
      </c>
      <c r="AE129" s="11">
        <v>45697</v>
      </c>
      <c r="AF129" s="1">
        <f t="shared" si="83"/>
        <v>31</v>
      </c>
      <c r="AG129" s="8">
        <v>0</v>
      </c>
      <c r="AH129" s="5">
        <v>0.51300000000000001</v>
      </c>
      <c r="AI129" s="1">
        <v>1</v>
      </c>
      <c r="AJ129" s="3">
        <v>45670</v>
      </c>
      <c r="AK129" s="5">
        <f t="shared" si="76"/>
        <v>6.3890000000000002</v>
      </c>
      <c r="AL129" s="5">
        <v>6.9020000000000001</v>
      </c>
      <c r="AM129" s="1">
        <v>1</v>
      </c>
      <c r="AN129" s="3">
        <f t="shared" si="77"/>
        <v>45686</v>
      </c>
      <c r="AO129" s="1">
        <v>7.05</v>
      </c>
      <c r="AP129" s="8">
        <v>2</v>
      </c>
      <c r="AQ129" s="3">
        <f t="shared" si="78"/>
        <v>45691</v>
      </c>
      <c r="AR129" s="5">
        <f t="shared" si="79"/>
        <v>6.5369999999999999</v>
      </c>
      <c r="AS129" s="1">
        <v>9</v>
      </c>
      <c r="AT129" s="1">
        <v>22</v>
      </c>
      <c r="AU129" s="1">
        <v>56</v>
      </c>
      <c r="AV129" s="1">
        <f t="shared" si="80"/>
        <v>87</v>
      </c>
      <c r="AW129" s="1">
        <v>28</v>
      </c>
      <c r="AX129" s="1">
        <v>38</v>
      </c>
      <c r="AY129" s="1">
        <v>187</v>
      </c>
      <c r="AZ129" s="1">
        <f t="shared" si="81"/>
        <v>253</v>
      </c>
      <c r="BA129" s="1">
        <v>208</v>
      </c>
      <c r="BB129" s="1">
        <v>6</v>
      </c>
      <c r="BC129" s="1">
        <v>0</v>
      </c>
      <c r="BD129" s="1">
        <v>0</v>
      </c>
      <c r="BE129" s="1" t="s">
        <v>12</v>
      </c>
      <c r="BF129" s="1" t="s">
        <v>12</v>
      </c>
      <c r="BG129" s="1" t="s">
        <v>12</v>
      </c>
      <c r="BH129" s="1" t="s">
        <v>12</v>
      </c>
      <c r="BI129" s="1">
        <f>BA129+BB129+BC129+BD129</f>
        <v>214</v>
      </c>
      <c r="BJ129" s="1">
        <f t="shared" si="82"/>
        <v>554</v>
      </c>
      <c r="BK129" s="3">
        <v>45697</v>
      </c>
      <c r="BL129" s="6"/>
      <c r="BM129" s="6" t="s">
        <v>22</v>
      </c>
      <c r="BN129" s="6" t="s">
        <v>211</v>
      </c>
      <c r="BO129" s="13">
        <v>54.32</v>
      </c>
      <c r="BP129" s="13">
        <v>5.28</v>
      </c>
      <c r="BQ129" s="1">
        <v>5</v>
      </c>
      <c r="BR129" s="1">
        <v>0</v>
      </c>
      <c r="BS129" s="1">
        <f>BQ129+BR129</f>
        <v>5</v>
      </c>
      <c r="BT129" s="1">
        <v>9</v>
      </c>
      <c r="BU129" s="1">
        <v>0</v>
      </c>
      <c r="BV129" s="1">
        <f>BT129+BU129</f>
        <v>9</v>
      </c>
      <c r="BW129" s="1">
        <v>13</v>
      </c>
      <c r="BX129" s="1">
        <v>0</v>
      </c>
      <c r="BY129" s="1">
        <f>BW129+BX129</f>
        <v>13</v>
      </c>
      <c r="BZ129" s="1">
        <v>15</v>
      </c>
      <c r="CA129" s="1">
        <v>0</v>
      </c>
      <c r="CB129" s="1">
        <f>BZ129+CA129</f>
        <v>15</v>
      </c>
      <c r="CC129" s="1">
        <f>BS129+BV129+BY129+CB129</f>
        <v>42</v>
      </c>
      <c r="CE129" s="7">
        <f>CC129+CD129</f>
        <v>42</v>
      </c>
      <c r="CF129" s="8">
        <v>4</v>
      </c>
      <c r="CG129" s="8">
        <v>7</v>
      </c>
      <c r="CH129" s="8">
        <v>10</v>
      </c>
      <c r="CI129" s="8">
        <v>18</v>
      </c>
      <c r="CJ129" s="8">
        <v>3</v>
      </c>
      <c r="CK129" s="8">
        <v>0</v>
      </c>
      <c r="CL129" s="8">
        <v>0</v>
      </c>
      <c r="CM129" s="8">
        <v>0</v>
      </c>
      <c r="CN129" s="1">
        <f>CF129+CG129+CH129+CI129+CJ129+CK129+CL129+CM129</f>
        <v>42</v>
      </c>
      <c r="CO129" s="1">
        <f>CN129/CE129</f>
        <v>1</v>
      </c>
      <c r="CP129" s="8">
        <v>1.173</v>
      </c>
      <c r="CQ129" s="8">
        <v>3</v>
      </c>
      <c r="CR129" s="1">
        <f>CP129/CQ129</f>
        <v>0.39100000000000001</v>
      </c>
      <c r="CS129" s="1">
        <v>3.3679999999999999</v>
      </c>
      <c r="CT129" s="8">
        <v>5</v>
      </c>
      <c r="CU129" s="1">
        <f>CS129/CT129</f>
        <v>0.67359999999999998</v>
      </c>
    </row>
    <row r="130" spans="1:99" x14ac:dyDescent="0.25">
      <c r="A130" s="1">
        <v>130</v>
      </c>
      <c r="B130" s="1">
        <v>128</v>
      </c>
      <c r="C130" s="2" t="s">
        <v>128</v>
      </c>
      <c r="D130" s="3" t="s">
        <v>27</v>
      </c>
      <c r="E130" s="1" t="str">
        <f t="shared" si="73"/>
        <v>f</v>
      </c>
      <c r="F130" s="1" t="str">
        <f t="shared" ref="F130:F145" si="84">MID(C130,1,1)</f>
        <v>C</v>
      </c>
      <c r="G130" s="1" t="str">
        <f t="shared" ref="G130:G145" si="85">IF(F130="C","A",IF(F130="A","B",IF(F130="I","C",IF(F130="M","D"))))</f>
        <v>A</v>
      </c>
      <c r="H130" s="1">
        <v>0</v>
      </c>
      <c r="I130" s="1">
        <v>0</v>
      </c>
      <c r="J130" s="8" t="s">
        <v>278</v>
      </c>
      <c r="K130" s="8">
        <v>6</v>
      </c>
      <c r="L130" s="8">
        <v>3</v>
      </c>
      <c r="M130" s="8">
        <v>23.2</v>
      </c>
      <c r="N130" s="1">
        <v>14.2</v>
      </c>
      <c r="O130" s="8">
        <v>1</v>
      </c>
      <c r="P130" s="1" t="s">
        <v>8</v>
      </c>
      <c r="Q130" s="3">
        <v>45665</v>
      </c>
      <c r="R130" s="3">
        <v>45666</v>
      </c>
      <c r="S130" s="3">
        <v>45656</v>
      </c>
      <c r="T130" s="3">
        <v>45657</v>
      </c>
      <c r="U130" s="1">
        <f t="shared" ref="U130:U145" si="86">_xlfn.DAYS(R130,T130)</f>
        <v>9</v>
      </c>
      <c r="V130" s="3">
        <v>45683</v>
      </c>
      <c r="W130" s="1">
        <f t="shared" si="74"/>
        <v>17</v>
      </c>
      <c r="X130" s="3">
        <v>45688</v>
      </c>
      <c r="Y130" s="1">
        <f t="shared" si="75"/>
        <v>22</v>
      </c>
      <c r="Z130" s="1">
        <f>_xlfn.DAYS(BK130,X130)</f>
        <v>7</v>
      </c>
      <c r="AB130" s="3">
        <v>45701</v>
      </c>
      <c r="AD130" s="11" t="s">
        <v>86</v>
      </c>
      <c r="AE130" s="11">
        <v>45697</v>
      </c>
      <c r="AF130" s="1">
        <f t="shared" si="83"/>
        <v>31</v>
      </c>
      <c r="AG130" s="8">
        <v>0</v>
      </c>
      <c r="AH130" s="5">
        <v>0.96599999999999997</v>
      </c>
      <c r="AI130" s="1">
        <v>1</v>
      </c>
      <c r="AJ130" s="3">
        <v>45670</v>
      </c>
      <c r="AK130" s="5">
        <f t="shared" si="76"/>
        <v>8.0860000000000003</v>
      </c>
      <c r="AL130" s="5">
        <v>9.0519999999999996</v>
      </c>
      <c r="AM130" s="1">
        <v>2</v>
      </c>
      <c r="AN130" s="3">
        <f t="shared" si="77"/>
        <v>45684</v>
      </c>
      <c r="AO130" s="1">
        <v>8.7840000000000007</v>
      </c>
      <c r="AP130" s="8">
        <v>2</v>
      </c>
      <c r="AQ130" s="3">
        <f t="shared" si="78"/>
        <v>45689</v>
      </c>
      <c r="AR130" s="5">
        <f t="shared" si="79"/>
        <v>7.8180000000000005</v>
      </c>
      <c r="AS130" s="1">
        <v>12</v>
      </c>
      <c r="AT130" s="1">
        <v>29</v>
      </c>
      <c r="AU130" s="1">
        <v>68</v>
      </c>
      <c r="AV130" s="1">
        <f t="shared" si="80"/>
        <v>109</v>
      </c>
      <c r="AW130" s="1">
        <v>98</v>
      </c>
      <c r="AX130" s="1">
        <v>218</v>
      </c>
      <c r="AY130" s="1">
        <v>234</v>
      </c>
      <c r="AZ130" s="1">
        <f t="shared" si="81"/>
        <v>550</v>
      </c>
      <c r="BA130" s="1">
        <v>5</v>
      </c>
      <c r="BB130" s="1">
        <v>0</v>
      </c>
      <c r="BC130" s="1">
        <v>0</v>
      </c>
      <c r="BD130" s="1" t="s">
        <v>12</v>
      </c>
      <c r="BE130" s="1" t="s">
        <v>12</v>
      </c>
      <c r="BF130" s="1" t="s">
        <v>12</v>
      </c>
      <c r="BG130" s="1" t="s">
        <v>12</v>
      </c>
      <c r="BH130" s="1" t="s">
        <v>12</v>
      </c>
      <c r="BI130" s="1">
        <f>BA130+BB130+BC130</f>
        <v>5</v>
      </c>
      <c r="BJ130" s="1">
        <f t="shared" si="82"/>
        <v>664</v>
      </c>
      <c r="BK130" s="3">
        <v>45695</v>
      </c>
      <c r="BL130" s="6"/>
      <c r="BM130" s="6" t="s">
        <v>127</v>
      </c>
      <c r="BN130" s="6" t="s">
        <v>197</v>
      </c>
      <c r="BO130" s="13">
        <v>58.02</v>
      </c>
      <c r="BP130" s="13">
        <v>1.58</v>
      </c>
      <c r="BQ130" s="1">
        <v>0</v>
      </c>
      <c r="BR130" s="1">
        <v>3</v>
      </c>
      <c r="BS130" s="1">
        <f>BQ130+BR130</f>
        <v>3</v>
      </c>
      <c r="BT130" s="1">
        <v>13</v>
      </c>
      <c r="BU130" s="1">
        <v>1</v>
      </c>
      <c r="BV130" s="1">
        <f>BT130+BU130</f>
        <v>14</v>
      </c>
      <c r="BW130" s="1">
        <v>14</v>
      </c>
      <c r="BX130" s="1">
        <v>1</v>
      </c>
      <c r="BY130" s="1">
        <f>BW130+BX130</f>
        <v>15</v>
      </c>
      <c r="BZ130" s="1">
        <v>9</v>
      </c>
      <c r="CA130" s="1">
        <v>0</v>
      </c>
      <c r="CB130" s="1">
        <f>BZ130+CA130</f>
        <v>9</v>
      </c>
      <c r="CC130" s="1">
        <f>BS130+BV130+BY130+CB130</f>
        <v>41</v>
      </c>
      <c r="CE130" s="7">
        <f>CC130+CD130</f>
        <v>41</v>
      </c>
      <c r="CF130" s="8">
        <v>2</v>
      </c>
      <c r="CG130" s="8">
        <v>7</v>
      </c>
      <c r="CH130" s="8">
        <v>11</v>
      </c>
      <c r="CI130" s="8">
        <v>9</v>
      </c>
      <c r="CJ130" s="8">
        <v>4</v>
      </c>
      <c r="CK130" s="8">
        <v>0</v>
      </c>
      <c r="CL130" s="8">
        <v>0</v>
      </c>
      <c r="CM130" s="8">
        <v>0</v>
      </c>
      <c r="CN130" s="1">
        <f>CF130+CG130+CH130+CI130+CJ130+CK130+CL130+CM130</f>
        <v>33</v>
      </c>
      <c r="CO130" s="1">
        <f>CN130/CE130</f>
        <v>0.80487804878048785</v>
      </c>
      <c r="CP130" s="8">
        <v>2.8</v>
      </c>
      <c r="CQ130" s="8">
        <v>3</v>
      </c>
      <c r="CR130" s="1">
        <f>CP130/CQ130</f>
        <v>0.93333333333333324</v>
      </c>
      <c r="CS130" s="1">
        <v>4.2750000000000004</v>
      </c>
      <c r="CT130" s="8">
        <v>5</v>
      </c>
      <c r="CU130" s="1">
        <f>CS130/CT130</f>
        <v>0.85500000000000009</v>
      </c>
    </row>
    <row r="131" spans="1:99" x14ac:dyDescent="0.25">
      <c r="A131" s="1">
        <v>131</v>
      </c>
      <c r="B131" s="1">
        <v>129</v>
      </c>
      <c r="C131" s="2" t="s">
        <v>146</v>
      </c>
      <c r="D131" s="3" t="s">
        <v>10</v>
      </c>
      <c r="E131" s="1" t="str">
        <f t="shared" si="73"/>
        <v>m</v>
      </c>
      <c r="F131" s="1" t="str">
        <f t="shared" si="84"/>
        <v>M</v>
      </c>
      <c r="G131" s="1" t="str">
        <f t="shared" si="85"/>
        <v>D</v>
      </c>
      <c r="H131" s="1">
        <v>1</v>
      </c>
      <c r="I131" s="1">
        <v>1</v>
      </c>
      <c r="J131" s="8" t="s">
        <v>276</v>
      </c>
      <c r="K131" s="8">
        <v>6</v>
      </c>
      <c r="L131" s="8">
        <v>3</v>
      </c>
      <c r="M131" s="8">
        <v>23.2</v>
      </c>
      <c r="N131" s="8">
        <v>15.2</v>
      </c>
      <c r="O131" s="8">
        <v>1</v>
      </c>
      <c r="P131" s="1" t="s">
        <v>8</v>
      </c>
      <c r="Q131" s="3">
        <v>45665</v>
      </c>
      <c r="R131" s="3">
        <v>45666</v>
      </c>
      <c r="S131" s="3">
        <v>45656</v>
      </c>
      <c r="T131" s="3">
        <v>45657</v>
      </c>
      <c r="U131" s="1">
        <f t="shared" si="86"/>
        <v>9</v>
      </c>
      <c r="V131" s="3">
        <v>45685</v>
      </c>
      <c r="W131" s="1">
        <f t="shared" si="74"/>
        <v>19</v>
      </c>
      <c r="X131" s="3">
        <v>45691</v>
      </c>
      <c r="Y131" s="1">
        <f t="shared" si="75"/>
        <v>25</v>
      </c>
      <c r="Z131" s="1">
        <f>_xlfn.DAYS(BK131,X131)</f>
        <v>9</v>
      </c>
      <c r="AB131" s="3">
        <v>45702</v>
      </c>
      <c r="AD131" s="11" t="s">
        <v>86</v>
      </c>
      <c r="AE131" s="11">
        <v>45697</v>
      </c>
      <c r="AF131" s="1">
        <f t="shared" si="83"/>
        <v>31</v>
      </c>
      <c r="AG131" s="8">
        <v>0</v>
      </c>
      <c r="AH131" s="5">
        <v>1.0269999999999999</v>
      </c>
      <c r="AI131" s="1">
        <v>1</v>
      </c>
      <c r="AJ131" s="3">
        <v>45670</v>
      </c>
      <c r="AK131" s="5">
        <f t="shared" si="76"/>
        <v>5.9909999999999997</v>
      </c>
      <c r="AL131" s="5">
        <v>7.0179999999999998</v>
      </c>
      <c r="AM131" s="1">
        <v>1</v>
      </c>
      <c r="AN131" s="3">
        <f t="shared" si="77"/>
        <v>45686</v>
      </c>
      <c r="AO131" s="1">
        <v>6.7380000000000004</v>
      </c>
      <c r="AP131" s="8">
        <v>2</v>
      </c>
      <c r="AQ131" s="3">
        <f t="shared" si="78"/>
        <v>45692</v>
      </c>
      <c r="AR131" s="5">
        <f t="shared" si="79"/>
        <v>5.7110000000000003</v>
      </c>
      <c r="AS131" s="1">
        <v>11</v>
      </c>
      <c r="AT131" s="1">
        <v>26</v>
      </c>
      <c r="AU131" s="1">
        <v>95</v>
      </c>
      <c r="AV131" s="1">
        <f t="shared" si="80"/>
        <v>132</v>
      </c>
      <c r="AW131" s="1">
        <v>7</v>
      </c>
      <c r="AX131" s="1">
        <v>34</v>
      </c>
      <c r="AY131" s="1">
        <v>173</v>
      </c>
      <c r="AZ131" s="1">
        <f t="shared" si="81"/>
        <v>214</v>
      </c>
      <c r="BA131" s="1">
        <v>199</v>
      </c>
      <c r="BB131" s="1">
        <v>37</v>
      </c>
      <c r="BC131" s="1">
        <v>0</v>
      </c>
      <c r="BD131" s="1">
        <v>0</v>
      </c>
      <c r="BE131" s="1" t="s">
        <v>12</v>
      </c>
      <c r="BF131" s="1" t="s">
        <v>12</v>
      </c>
      <c r="BG131" s="1" t="s">
        <v>12</v>
      </c>
      <c r="BH131" s="1" t="s">
        <v>12</v>
      </c>
      <c r="BI131" s="1">
        <f>BA131+BB131+BC131+BD131</f>
        <v>236</v>
      </c>
      <c r="BJ131" s="1">
        <f t="shared" si="82"/>
        <v>582</v>
      </c>
      <c r="BK131" s="3">
        <v>45700</v>
      </c>
      <c r="BL131" s="6" t="s">
        <v>145</v>
      </c>
      <c r="BM131" s="6"/>
      <c r="BN131" s="6" t="s">
        <v>223</v>
      </c>
      <c r="BO131" s="13">
        <v>30.4</v>
      </c>
      <c r="BP131" s="13">
        <v>29.2</v>
      </c>
      <c r="BQ131" s="1">
        <v>6</v>
      </c>
      <c r="BR131" s="1">
        <v>0</v>
      </c>
      <c r="BS131" s="1">
        <f>BQ131+BR131</f>
        <v>6</v>
      </c>
      <c r="BT131" s="1">
        <v>7</v>
      </c>
      <c r="BU131" s="1">
        <v>0</v>
      </c>
      <c r="BV131" s="1">
        <f>BT131+BU131</f>
        <v>7</v>
      </c>
      <c r="BW131" s="1">
        <v>8</v>
      </c>
      <c r="BX131" s="1">
        <v>0</v>
      </c>
      <c r="BY131" s="1">
        <f>BW131+BX131</f>
        <v>8</v>
      </c>
      <c r="BZ131" s="1">
        <v>5</v>
      </c>
      <c r="CA131" s="1">
        <v>0</v>
      </c>
      <c r="CB131" s="1">
        <f>BZ131+CA131</f>
        <v>5</v>
      </c>
      <c r="CC131" s="1">
        <f>BS131+BV131+BY131+CB131</f>
        <v>26</v>
      </c>
      <c r="CE131" s="7">
        <f>CC131+CD131</f>
        <v>26</v>
      </c>
      <c r="CF131" s="8">
        <v>4</v>
      </c>
      <c r="CG131" s="8">
        <v>9</v>
      </c>
      <c r="CH131" s="8">
        <v>0</v>
      </c>
      <c r="CI131" s="8">
        <v>6</v>
      </c>
      <c r="CJ131" s="8">
        <v>1</v>
      </c>
      <c r="CK131" s="8">
        <v>0</v>
      </c>
      <c r="CL131" s="8">
        <v>0</v>
      </c>
      <c r="CM131" s="8">
        <v>0</v>
      </c>
      <c r="CN131" s="1">
        <f>CF131+CG131+CH131+CI131+CJ131+CK131+CL131+CM131</f>
        <v>20</v>
      </c>
      <c r="CO131" s="1">
        <f>CN131/CE131</f>
        <v>0.76923076923076927</v>
      </c>
      <c r="CP131" s="1" t="s">
        <v>12</v>
      </c>
      <c r="CQ131" s="8" t="s">
        <v>12</v>
      </c>
      <c r="CR131" s="1" t="s">
        <v>12</v>
      </c>
      <c r="CS131" s="1">
        <v>3.5539999999999998</v>
      </c>
      <c r="CT131" s="8">
        <v>5</v>
      </c>
      <c r="CU131" s="1">
        <f>CS131/CT131</f>
        <v>0.71079999999999999</v>
      </c>
    </row>
    <row r="132" spans="1:99" x14ac:dyDescent="0.25">
      <c r="A132" s="1">
        <v>132</v>
      </c>
      <c r="B132" s="1">
        <v>130</v>
      </c>
      <c r="C132" s="2" t="s">
        <v>147</v>
      </c>
      <c r="D132" s="3" t="s">
        <v>10</v>
      </c>
      <c r="E132" s="1" t="str">
        <f t="shared" si="73"/>
        <v>m</v>
      </c>
      <c r="F132" s="1" t="str">
        <f t="shared" si="84"/>
        <v>A</v>
      </c>
      <c r="G132" s="1" t="str">
        <f t="shared" si="85"/>
        <v>B</v>
      </c>
      <c r="H132" s="1">
        <v>1</v>
      </c>
      <c r="I132" s="1">
        <v>0</v>
      </c>
      <c r="J132" s="8" t="s">
        <v>278</v>
      </c>
      <c r="K132" s="8">
        <v>6</v>
      </c>
      <c r="L132" s="8">
        <v>3</v>
      </c>
      <c r="M132" s="8">
        <v>23.2</v>
      </c>
      <c r="N132" s="8">
        <v>16.2</v>
      </c>
      <c r="O132" s="8">
        <v>1</v>
      </c>
      <c r="P132" s="1" t="s">
        <v>8</v>
      </c>
      <c r="Q132" s="3">
        <v>45665</v>
      </c>
      <c r="R132" s="3">
        <v>45666</v>
      </c>
      <c r="S132" s="3">
        <v>45656</v>
      </c>
      <c r="T132" s="3">
        <v>45657</v>
      </c>
      <c r="U132" s="1">
        <f t="shared" si="86"/>
        <v>9</v>
      </c>
      <c r="V132" s="3">
        <v>45687</v>
      </c>
      <c r="W132" s="1">
        <f t="shared" si="74"/>
        <v>21</v>
      </c>
      <c r="X132" s="3">
        <v>45692</v>
      </c>
      <c r="Y132" s="1">
        <f t="shared" si="75"/>
        <v>26</v>
      </c>
      <c r="AB132" s="3">
        <v>45701</v>
      </c>
      <c r="AD132" s="11" t="s">
        <v>86</v>
      </c>
      <c r="AE132" s="11">
        <v>45697</v>
      </c>
      <c r="AF132" s="1">
        <f t="shared" si="83"/>
        <v>31</v>
      </c>
      <c r="AG132" s="8">
        <v>0</v>
      </c>
      <c r="AH132" s="5">
        <v>0.53600000000000003</v>
      </c>
      <c r="AI132" s="1">
        <v>1</v>
      </c>
      <c r="AJ132" s="3">
        <v>45670</v>
      </c>
      <c r="AK132" s="5">
        <f t="shared" si="76"/>
        <v>7.6219999999999999</v>
      </c>
      <c r="AL132" s="5">
        <v>8.1579999999999995</v>
      </c>
      <c r="AM132" s="1">
        <v>2</v>
      </c>
      <c r="AN132" s="3">
        <f t="shared" si="77"/>
        <v>45688</v>
      </c>
      <c r="AO132" s="1">
        <v>7.5979999999999999</v>
      </c>
      <c r="AP132" s="8">
        <v>2</v>
      </c>
      <c r="AQ132" s="3">
        <f t="shared" si="78"/>
        <v>45693</v>
      </c>
      <c r="AR132" s="5">
        <f t="shared" si="79"/>
        <v>7.0619999999999994</v>
      </c>
      <c r="AS132" s="1">
        <v>9</v>
      </c>
      <c r="AT132" s="1">
        <v>17</v>
      </c>
      <c r="AU132" s="1">
        <v>31</v>
      </c>
      <c r="AV132" s="1">
        <f t="shared" si="80"/>
        <v>57</v>
      </c>
      <c r="AW132" s="1">
        <v>45</v>
      </c>
      <c r="AX132" s="1">
        <v>59</v>
      </c>
      <c r="AY132" s="1">
        <v>137</v>
      </c>
      <c r="AZ132" s="1">
        <f t="shared" si="81"/>
        <v>241</v>
      </c>
      <c r="BA132" s="1">
        <v>192</v>
      </c>
      <c r="BB132" s="1">
        <v>341</v>
      </c>
      <c r="BC132" s="1">
        <v>12</v>
      </c>
      <c r="BD132" s="1">
        <v>0</v>
      </c>
      <c r="BE132" s="1" t="s">
        <v>12</v>
      </c>
      <c r="BF132" s="1" t="s">
        <v>12</v>
      </c>
      <c r="BG132" s="1" t="s">
        <v>12</v>
      </c>
      <c r="BH132" s="1" t="s">
        <v>12</v>
      </c>
      <c r="BI132" s="1">
        <f>BA132+BB132+BC132+BD132</f>
        <v>545</v>
      </c>
      <c r="BJ132" s="1">
        <f t="shared" si="82"/>
        <v>843</v>
      </c>
      <c r="BK132" s="3" t="s">
        <v>12</v>
      </c>
      <c r="BL132" s="10" t="s">
        <v>12</v>
      </c>
      <c r="BM132" s="10" t="s">
        <v>12</v>
      </c>
      <c r="BN132" s="14" t="s">
        <v>12</v>
      </c>
      <c r="BO132" s="13" t="s">
        <v>12</v>
      </c>
      <c r="BP132" s="13" t="s">
        <v>12</v>
      </c>
      <c r="BQ132" s="13" t="s">
        <v>12</v>
      </c>
      <c r="BR132" s="13" t="s">
        <v>12</v>
      </c>
      <c r="BS132" s="13" t="s">
        <v>12</v>
      </c>
      <c r="BT132" s="13" t="s">
        <v>12</v>
      </c>
      <c r="BU132" s="13" t="s">
        <v>12</v>
      </c>
      <c r="BV132" s="13" t="s">
        <v>12</v>
      </c>
      <c r="BW132" s="13" t="s">
        <v>12</v>
      </c>
      <c r="BX132" s="13" t="s">
        <v>12</v>
      </c>
      <c r="BY132" s="13" t="s">
        <v>12</v>
      </c>
      <c r="BZ132" s="13" t="s">
        <v>12</v>
      </c>
      <c r="CA132" s="13" t="s">
        <v>12</v>
      </c>
      <c r="CB132" s="13" t="s">
        <v>12</v>
      </c>
      <c r="CC132" s="13" t="s">
        <v>12</v>
      </c>
      <c r="CD132" s="13"/>
      <c r="CE132" s="13" t="s">
        <v>12</v>
      </c>
      <c r="CF132" s="13" t="s">
        <v>12</v>
      </c>
      <c r="CG132" s="13" t="s">
        <v>12</v>
      </c>
      <c r="CH132" s="13" t="s">
        <v>12</v>
      </c>
      <c r="CI132" s="13" t="s">
        <v>12</v>
      </c>
      <c r="CJ132" s="13" t="s">
        <v>12</v>
      </c>
      <c r="CK132" s="13" t="s">
        <v>12</v>
      </c>
      <c r="CL132" s="13" t="s">
        <v>12</v>
      </c>
      <c r="CM132" s="13" t="s">
        <v>12</v>
      </c>
      <c r="CN132" s="13" t="s">
        <v>12</v>
      </c>
      <c r="CO132" s="13" t="s">
        <v>12</v>
      </c>
    </row>
    <row r="133" spans="1:99" x14ac:dyDescent="0.25">
      <c r="A133" s="1">
        <v>133</v>
      </c>
      <c r="B133" s="1">
        <v>131</v>
      </c>
      <c r="C133" s="2" t="s">
        <v>148</v>
      </c>
      <c r="D133" s="3" t="s">
        <v>10</v>
      </c>
      <c r="E133" s="1" t="str">
        <f t="shared" si="73"/>
        <v>m</v>
      </c>
      <c r="F133" s="1" t="str">
        <f t="shared" si="84"/>
        <v>I</v>
      </c>
      <c r="G133" s="1" t="str">
        <f t="shared" si="85"/>
        <v>C</v>
      </c>
      <c r="H133" s="1">
        <v>0</v>
      </c>
      <c r="I133" s="1">
        <v>1</v>
      </c>
      <c r="J133" s="8" t="s">
        <v>278</v>
      </c>
      <c r="K133" s="8">
        <v>6</v>
      </c>
      <c r="L133" s="8">
        <v>3</v>
      </c>
      <c r="M133" s="8">
        <v>23.2</v>
      </c>
      <c r="N133" s="8">
        <v>17.2</v>
      </c>
      <c r="O133" s="8">
        <v>1</v>
      </c>
      <c r="P133" s="1" t="s">
        <v>8</v>
      </c>
      <c r="Q133" s="3">
        <v>45665</v>
      </c>
      <c r="R133" s="3">
        <v>45666</v>
      </c>
      <c r="S133" s="3">
        <v>45656</v>
      </c>
      <c r="T133" s="3">
        <v>45657</v>
      </c>
      <c r="U133" s="1">
        <f t="shared" si="86"/>
        <v>9</v>
      </c>
      <c r="V133" s="3">
        <v>45687</v>
      </c>
      <c r="W133" s="1">
        <f t="shared" si="74"/>
        <v>21</v>
      </c>
      <c r="X133" s="3">
        <v>45693</v>
      </c>
      <c r="Y133" s="1">
        <f t="shared" si="75"/>
        <v>27</v>
      </c>
      <c r="AB133" s="3">
        <v>45702</v>
      </c>
      <c r="AD133" s="11" t="s">
        <v>86</v>
      </c>
      <c r="AE133" s="11">
        <v>45697</v>
      </c>
      <c r="AF133" s="1">
        <f t="shared" si="83"/>
        <v>31</v>
      </c>
      <c r="AG133" s="8">
        <v>0</v>
      </c>
      <c r="AH133" s="5">
        <v>0.33900000000000002</v>
      </c>
      <c r="AI133" s="1">
        <v>1</v>
      </c>
      <c r="AJ133" s="3">
        <v>45670</v>
      </c>
      <c r="AK133" s="5">
        <f t="shared" si="76"/>
        <v>6.5489999999999995</v>
      </c>
      <c r="AL133" s="5">
        <v>6.8879999999999999</v>
      </c>
      <c r="AM133" s="1">
        <v>2</v>
      </c>
      <c r="AN133" s="3">
        <f t="shared" si="77"/>
        <v>45688</v>
      </c>
      <c r="AO133" s="1">
        <v>5.782</v>
      </c>
      <c r="AP133" s="8">
        <v>1</v>
      </c>
      <c r="AQ133" s="3">
        <f t="shared" si="78"/>
        <v>45694</v>
      </c>
      <c r="AR133" s="5">
        <f t="shared" si="79"/>
        <v>5.4429999999999996</v>
      </c>
      <c r="AS133" s="1">
        <v>2</v>
      </c>
      <c r="AT133" s="1">
        <v>16</v>
      </c>
      <c r="AU133" s="1">
        <v>26</v>
      </c>
      <c r="AV133" s="1">
        <f t="shared" si="80"/>
        <v>44</v>
      </c>
      <c r="AW133" s="1">
        <v>36</v>
      </c>
      <c r="AX133" s="1">
        <v>19</v>
      </c>
      <c r="AY133" s="1">
        <v>79</v>
      </c>
      <c r="AZ133" s="1">
        <f t="shared" si="81"/>
        <v>134</v>
      </c>
      <c r="BA133" s="1">
        <v>171</v>
      </c>
      <c r="BB133" s="1">
        <v>196</v>
      </c>
      <c r="BC133" s="1">
        <v>2</v>
      </c>
      <c r="BD133" s="1">
        <v>0</v>
      </c>
      <c r="BE133" s="1">
        <v>0</v>
      </c>
      <c r="BF133" s="1" t="s">
        <v>12</v>
      </c>
      <c r="BG133" s="1" t="s">
        <v>12</v>
      </c>
      <c r="BH133" s="1" t="s">
        <v>12</v>
      </c>
      <c r="BI133" s="1">
        <f>BA133+BB133+BC133+BD133</f>
        <v>369</v>
      </c>
      <c r="BJ133" s="1">
        <f t="shared" si="82"/>
        <v>547</v>
      </c>
      <c r="BK133" s="3" t="s">
        <v>12</v>
      </c>
      <c r="BL133" s="10" t="s">
        <v>12</v>
      </c>
      <c r="BM133" s="10" t="s">
        <v>12</v>
      </c>
      <c r="BN133" s="14" t="s">
        <v>12</v>
      </c>
      <c r="BO133" s="13" t="s">
        <v>12</v>
      </c>
      <c r="BP133" s="13" t="s">
        <v>12</v>
      </c>
      <c r="BQ133" s="13" t="s">
        <v>12</v>
      </c>
      <c r="BR133" s="13" t="s">
        <v>12</v>
      </c>
      <c r="BS133" s="13" t="s">
        <v>12</v>
      </c>
      <c r="BT133" s="13" t="s">
        <v>12</v>
      </c>
      <c r="BU133" s="13" t="s">
        <v>12</v>
      </c>
      <c r="BV133" s="13" t="s">
        <v>12</v>
      </c>
      <c r="BW133" s="13" t="s">
        <v>12</v>
      </c>
      <c r="BX133" s="13" t="s">
        <v>12</v>
      </c>
      <c r="BY133" s="13" t="s">
        <v>12</v>
      </c>
      <c r="BZ133" s="13" t="s">
        <v>12</v>
      </c>
      <c r="CA133" s="13" t="s">
        <v>12</v>
      </c>
      <c r="CB133" s="13" t="s">
        <v>12</v>
      </c>
      <c r="CC133" s="13" t="s">
        <v>12</v>
      </c>
      <c r="CD133" s="13"/>
      <c r="CE133" s="13" t="s">
        <v>12</v>
      </c>
      <c r="CF133" s="13" t="s">
        <v>12</v>
      </c>
      <c r="CG133" s="13" t="s">
        <v>12</v>
      </c>
      <c r="CH133" s="13" t="s">
        <v>12</v>
      </c>
      <c r="CI133" s="13" t="s">
        <v>12</v>
      </c>
      <c r="CJ133" s="13" t="s">
        <v>12</v>
      </c>
      <c r="CK133" s="13" t="s">
        <v>12</v>
      </c>
      <c r="CL133" s="13" t="s">
        <v>12</v>
      </c>
      <c r="CM133" s="13" t="s">
        <v>12</v>
      </c>
      <c r="CN133" s="13" t="s">
        <v>12</v>
      </c>
      <c r="CO133" s="13" t="s">
        <v>12</v>
      </c>
    </row>
    <row r="134" spans="1:99" x14ac:dyDescent="0.25">
      <c r="A134" s="1">
        <v>134</v>
      </c>
      <c r="B134" s="1">
        <v>132</v>
      </c>
      <c r="C134" s="2" t="s">
        <v>119</v>
      </c>
      <c r="D134" s="3" t="s">
        <v>27</v>
      </c>
      <c r="E134" s="1" t="str">
        <f t="shared" si="73"/>
        <v>f</v>
      </c>
      <c r="F134" s="1" t="str">
        <f t="shared" si="84"/>
        <v>C</v>
      </c>
      <c r="G134" s="1" t="str">
        <f t="shared" si="85"/>
        <v>A</v>
      </c>
      <c r="H134" s="1">
        <v>0</v>
      </c>
      <c r="I134" s="1">
        <v>0</v>
      </c>
      <c r="J134" s="8" t="s">
        <v>278</v>
      </c>
      <c r="K134" s="8">
        <v>6</v>
      </c>
      <c r="L134" s="8">
        <v>3</v>
      </c>
      <c r="M134" s="8">
        <v>24.2</v>
      </c>
      <c r="N134" s="8">
        <v>17.2</v>
      </c>
      <c r="O134" s="8">
        <v>1</v>
      </c>
      <c r="P134" s="1" t="s">
        <v>8</v>
      </c>
      <c r="Q134" s="3">
        <v>45665</v>
      </c>
      <c r="R134" s="3">
        <v>45666</v>
      </c>
      <c r="S134" s="3">
        <v>45656</v>
      </c>
      <c r="T134" s="3">
        <v>45657</v>
      </c>
      <c r="U134" s="1">
        <f t="shared" si="86"/>
        <v>9</v>
      </c>
      <c r="V134" s="3">
        <v>45686</v>
      </c>
      <c r="W134" s="1">
        <f t="shared" si="74"/>
        <v>20</v>
      </c>
      <c r="X134" s="3">
        <v>45692</v>
      </c>
      <c r="Y134" s="1">
        <f t="shared" si="75"/>
        <v>26</v>
      </c>
      <c r="Z134" s="1">
        <f>_xlfn.DAYS(BK134,X134)</f>
        <v>7</v>
      </c>
      <c r="AB134" s="3">
        <v>45705</v>
      </c>
      <c r="AD134" s="11" t="s">
        <v>86</v>
      </c>
      <c r="AE134" s="11">
        <v>45697</v>
      </c>
      <c r="AF134" s="1">
        <f t="shared" si="83"/>
        <v>31</v>
      </c>
      <c r="AG134" s="8">
        <v>0</v>
      </c>
      <c r="AH134" s="5">
        <v>0.53</v>
      </c>
      <c r="AI134" s="1">
        <v>1</v>
      </c>
      <c r="AJ134" s="3">
        <v>45670</v>
      </c>
      <c r="AK134" s="5">
        <f t="shared" si="76"/>
        <v>8.5340000000000007</v>
      </c>
      <c r="AL134" s="5">
        <v>9.0640000000000001</v>
      </c>
      <c r="AM134" s="1">
        <v>2</v>
      </c>
      <c r="AN134" s="3">
        <f t="shared" si="77"/>
        <v>45687</v>
      </c>
      <c r="AO134" s="1">
        <v>8.85</v>
      </c>
      <c r="AP134" s="8">
        <v>2</v>
      </c>
      <c r="AQ134" s="3">
        <f t="shared" si="78"/>
        <v>45693</v>
      </c>
      <c r="AR134" s="5">
        <f t="shared" si="79"/>
        <v>8.32</v>
      </c>
      <c r="AS134" s="1">
        <v>6</v>
      </c>
      <c r="AT134" s="1">
        <v>22</v>
      </c>
      <c r="AU134" s="1">
        <v>30</v>
      </c>
      <c r="AV134" s="1">
        <f t="shared" si="80"/>
        <v>58</v>
      </c>
      <c r="AW134" s="1">
        <v>77</v>
      </c>
      <c r="AX134" s="1">
        <v>97</v>
      </c>
      <c r="AY134" s="1">
        <v>238</v>
      </c>
      <c r="AZ134" s="1">
        <f t="shared" si="81"/>
        <v>412</v>
      </c>
      <c r="BA134" s="1">
        <v>250</v>
      </c>
      <c r="BB134" s="1">
        <v>25</v>
      </c>
      <c r="BC134" s="1">
        <v>2</v>
      </c>
      <c r="BD134" s="1">
        <v>0</v>
      </c>
      <c r="BE134" s="1" t="s">
        <v>12</v>
      </c>
      <c r="BF134" s="1" t="s">
        <v>12</v>
      </c>
      <c r="BG134" s="1" t="s">
        <v>12</v>
      </c>
      <c r="BH134" s="1" t="s">
        <v>12</v>
      </c>
      <c r="BI134" s="1">
        <f>BA134+BB134+BC134+BD134</f>
        <v>277</v>
      </c>
      <c r="BJ134" s="1">
        <f t="shared" si="82"/>
        <v>747</v>
      </c>
      <c r="BK134" s="3">
        <v>45699</v>
      </c>
      <c r="BL134" s="6"/>
      <c r="BM134" s="6" t="s">
        <v>118</v>
      </c>
      <c r="BN134" s="6" t="s">
        <v>221</v>
      </c>
      <c r="BO134" s="13">
        <v>0</v>
      </c>
      <c r="BP134" s="13">
        <v>60</v>
      </c>
      <c r="BQ134" s="1">
        <v>9</v>
      </c>
      <c r="BR134" s="1">
        <v>0</v>
      </c>
      <c r="BS134" s="1">
        <f>BQ134+BR134</f>
        <v>9</v>
      </c>
      <c r="BT134" s="1">
        <v>11</v>
      </c>
      <c r="BU134" s="1">
        <v>0</v>
      </c>
      <c r="BV134" s="1">
        <f>BT134+BU134</f>
        <v>11</v>
      </c>
      <c r="BW134" s="1">
        <v>14</v>
      </c>
      <c r="BX134" s="1">
        <v>0</v>
      </c>
      <c r="BY134" s="1">
        <f>BW134+BX134</f>
        <v>14</v>
      </c>
      <c r="BZ134" s="1">
        <v>15</v>
      </c>
      <c r="CA134" s="1">
        <v>0</v>
      </c>
      <c r="CB134" s="1">
        <f>BZ134+CA134</f>
        <v>15</v>
      </c>
      <c r="CC134" s="1">
        <f>BS134+BV134+BY134+CB134</f>
        <v>49</v>
      </c>
      <c r="CE134" s="7">
        <f>CC134+CD134</f>
        <v>49</v>
      </c>
      <c r="CF134" s="8">
        <v>6</v>
      </c>
      <c r="CG134" s="8">
        <v>15</v>
      </c>
      <c r="CH134" s="8">
        <v>10</v>
      </c>
      <c r="CI134" s="8">
        <v>12</v>
      </c>
      <c r="CJ134" s="8">
        <v>4</v>
      </c>
      <c r="CK134" s="8">
        <v>0</v>
      </c>
      <c r="CL134" s="8">
        <v>0</v>
      </c>
      <c r="CM134" s="8">
        <v>0</v>
      </c>
      <c r="CN134" s="1">
        <f>CF134+CG134+CH134+CI134+CJ134+CK134+CL134+CM134</f>
        <v>47</v>
      </c>
      <c r="CO134" s="1">
        <f>CN134/CE134</f>
        <v>0.95918367346938771</v>
      </c>
      <c r="CP134" s="8">
        <v>5.1390000000000002</v>
      </c>
      <c r="CQ134" s="8">
        <v>5</v>
      </c>
      <c r="CR134" s="1">
        <f>CP134/CQ134</f>
        <v>1.0278</v>
      </c>
      <c r="CS134" s="1" t="s">
        <v>12</v>
      </c>
      <c r="CT134" s="8" t="s">
        <v>12</v>
      </c>
      <c r="CU134" s="1" t="s">
        <v>12</v>
      </c>
    </row>
    <row r="135" spans="1:99" x14ac:dyDescent="0.25">
      <c r="A135" s="1">
        <v>135</v>
      </c>
      <c r="B135" s="1">
        <v>133</v>
      </c>
      <c r="C135" s="2" t="s">
        <v>143</v>
      </c>
      <c r="D135" s="3" t="s">
        <v>27</v>
      </c>
      <c r="E135" s="1" t="str">
        <f t="shared" si="73"/>
        <v>f</v>
      </c>
      <c r="F135" s="1" t="str">
        <f t="shared" si="84"/>
        <v>A</v>
      </c>
      <c r="G135" s="1" t="str">
        <f t="shared" si="85"/>
        <v>B</v>
      </c>
      <c r="H135" s="1">
        <v>1</v>
      </c>
      <c r="I135" s="1">
        <v>0</v>
      </c>
      <c r="J135" s="8" t="s">
        <v>278</v>
      </c>
      <c r="K135" s="8">
        <v>6</v>
      </c>
      <c r="L135" s="8">
        <v>3</v>
      </c>
      <c r="M135" s="8">
        <v>24.2</v>
      </c>
      <c r="N135" s="8">
        <v>16.2</v>
      </c>
      <c r="O135" s="8">
        <v>1</v>
      </c>
      <c r="P135" s="1" t="s">
        <v>8</v>
      </c>
      <c r="Q135" s="3">
        <v>45665</v>
      </c>
      <c r="R135" s="3">
        <v>45666</v>
      </c>
      <c r="S135" s="3">
        <v>45656</v>
      </c>
      <c r="T135" s="3">
        <v>45657</v>
      </c>
      <c r="U135" s="1">
        <f t="shared" si="86"/>
        <v>9</v>
      </c>
      <c r="V135" s="3">
        <v>45685</v>
      </c>
      <c r="W135" s="1">
        <f t="shared" si="74"/>
        <v>19</v>
      </c>
      <c r="X135" s="3">
        <v>45690</v>
      </c>
      <c r="Y135" s="1">
        <f t="shared" si="75"/>
        <v>24</v>
      </c>
      <c r="Z135" s="1">
        <f>_xlfn.DAYS(BK135,X135)</f>
        <v>7</v>
      </c>
      <c r="AB135" s="3">
        <v>45703</v>
      </c>
      <c r="AD135" s="11" t="s">
        <v>86</v>
      </c>
      <c r="AE135" s="11">
        <v>45697</v>
      </c>
      <c r="AF135" s="1">
        <f t="shared" si="83"/>
        <v>31</v>
      </c>
      <c r="AG135" s="8">
        <v>0</v>
      </c>
      <c r="AH135" s="5">
        <v>0.59</v>
      </c>
      <c r="AI135" s="1">
        <v>1</v>
      </c>
      <c r="AJ135" s="3">
        <v>45670</v>
      </c>
      <c r="AK135" s="5">
        <f t="shared" si="76"/>
        <v>7.7240000000000002</v>
      </c>
      <c r="AL135" s="5">
        <v>8.3140000000000001</v>
      </c>
      <c r="AM135" s="1">
        <v>1</v>
      </c>
      <c r="AN135" s="3">
        <f t="shared" si="77"/>
        <v>45686</v>
      </c>
      <c r="AO135" s="1">
        <v>7.0549999999999997</v>
      </c>
      <c r="AP135" s="8">
        <v>2</v>
      </c>
      <c r="AQ135" s="3">
        <f t="shared" si="78"/>
        <v>45691</v>
      </c>
      <c r="AR135" s="5">
        <f t="shared" si="79"/>
        <v>6.4649999999999999</v>
      </c>
      <c r="AS135" s="1">
        <v>7</v>
      </c>
      <c r="AT135" s="1">
        <v>26</v>
      </c>
      <c r="AU135" s="1">
        <v>41</v>
      </c>
      <c r="AV135" s="1">
        <f t="shared" si="80"/>
        <v>74</v>
      </c>
      <c r="AW135" s="1">
        <v>57</v>
      </c>
      <c r="AX135" s="1">
        <v>152</v>
      </c>
      <c r="AY135" s="1">
        <v>296</v>
      </c>
      <c r="AZ135" s="1">
        <f t="shared" si="81"/>
        <v>505</v>
      </c>
      <c r="BA135" s="1">
        <v>166</v>
      </c>
      <c r="BB135" s="1">
        <v>8</v>
      </c>
      <c r="BC135" s="1">
        <v>0</v>
      </c>
      <c r="BD135" s="1">
        <v>0</v>
      </c>
      <c r="BE135" s="1" t="s">
        <v>12</v>
      </c>
      <c r="BF135" s="1" t="s">
        <v>12</v>
      </c>
      <c r="BG135" s="1" t="s">
        <v>12</v>
      </c>
      <c r="BH135" s="1" t="s">
        <v>12</v>
      </c>
      <c r="BI135" s="1">
        <f>BA135+BB135+BC135+BD135</f>
        <v>174</v>
      </c>
      <c r="BJ135" s="1">
        <f t="shared" si="82"/>
        <v>753</v>
      </c>
      <c r="BK135" s="3">
        <v>45697</v>
      </c>
      <c r="BL135" s="6"/>
      <c r="BM135" s="6" t="s">
        <v>142</v>
      </c>
      <c r="BN135" s="6" t="s">
        <v>217</v>
      </c>
      <c r="BO135" s="13">
        <v>0</v>
      </c>
      <c r="BP135" s="13">
        <v>60</v>
      </c>
      <c r="BQ135" s="1">
        <v>6</v>
      </c>
      <c r="BR135" s="1">
        <v>1</v>
      </c>
      <c r="BS135" s="1">
        <f>BQ135+BR135</f>
        <v>7</v>
      </c>
      <c r="BT135" s="1">
        <v>6</v>
      </c>
      <c r="BU135" s="1">
        <v>0</v>
      </c>
      <c r="BV135" s="1">
        <f>BT135+BU135</f>
        <v>6</v>
      </c>
      <c r="BW135" s="1">
        <v>6</v>
      </c>
      <c r="BX135" s="1">
        <v>1</v>
      </c>
      <c r="BY135" s="1">
        <f>BW135+BX135</f>
        <v>7</v>
      </c>
      <c r="BZ135" s="1">
        <v>10</v>
      </c>
      <c r="CA135" s="1">
        <v>2</v>
      </c>
      <c r="CB135" s="1">
        <f>BZ135+CA135</f>
        <v>12</v>
      </c>
      <c r="CC135" s="1">
        <f>BS135+BV135+BY135+CB135</f>
        <v>32</v>
      </c>
      <c r="CD135" s="1">
        <f>CN135-CC135</f>
        <v>7</v>
      </c>
      <c r="CE135" s="7">
        <f>CC135+CD135</f>
        <v>39</v>
      </c>
      <c r="CF135" s="8">
        <v>2</v>
      </c>
      <c r="CG135" s="8">
        <v>8</v>
      </c>
      <c r="CH135" s="8">
        <v>7</v>
      </c>
      <c r="CI135" s="8">
        <v>12</v>
      </c>
      <c r="CJ135" s="8">
        <v>9</v>
      </c>
      <c r="CK135" s="8">
        <v>1</v>
      </c>
      <c r="CL135" s="8">
        <v>0</v>
      </c>
      <c r="CM135" s="8">
        <v>0</v>
      </c>
      <c r="CN135" s="1">
        <f>CF135+CG135+CH135+CI135+CJ135+CK135+CL135+CM135</f>
        <v>39</v>
      </c>
      <c r="CO135" s="1">
        <f>CN135/CE135</f>
        <v>1</v>
      </c>
      <c r="CP135" s="8">
        <v>3.8260000000000001</v>
      </c>
      <c r="CQ135" s="8">
        <v>5</v>
      </c>
      <c r="CR135" s="1">
        <f>CP135/CQ135</f>
        <v>0.76519999999999999</v>
      </c>
      <c r="CS135" s="1">
        <v>3.4329999999999998</v>
      </c>
      <c r="CT135" s="8">
        <v>4</v>
      </c>
      <c r="CU135" s="1">
        <f>CS135/CT135</f>
        <v>0.85824999999999996</v>
      </c>
    </row>
    <row r="136" spans="1:99" x14ac:dyDescent="0.25">
      <c r="A136" s="1">
        <v>136</v>
      </c>
      <c r="B136" s="1">
        <v>134</v>
      </c>
      <c r="C136" s="2" t="s">
        <v>149</v>
      </c>
      <c r="D136" s="1" t="s">
        <v>280</v>
      </c>
      <c r="E136" s="1" t="s">
        <v>12</v>
      </c>
      <c r="F136" s="1" t="str">
        <f t="shared" si="84"/>
        <v>I</v>
      </c>
      <c r="G136" s="1" t="str">
        <f t="shared" si="85"/>
        <v>C</v>
      </c>
      <c r="H136" s="1">
        <v>0</v>
      </c>
      <c r="I136" s="1">
        <v>1</v>
      </c>
      <c r="J136" s="8" t="s">
        <v>278</v>
      </c>
      <c r="K136" s="8">
        <v>6</v>
      </c>
      <c r="L136" s="8">
        <v>3</v>
      </c>
      <c r="M136" s="8">
        <v>24.2</v>
      </c>
      <c r="N136" s="8">
        <v>15.2</v>
      </c>
      <c r="O136" s="8"/>
      <c r="P136" s="1" t="s">
        <v>8</v>
      </c>
      <c r="Q136" s="3">
        <v>45665</v>
      </c>
      <c r="R136" s="3">
        <v>45666</v>
      </c>
      <c r="S136" s="3">
        <v>45656</v>
      </c>
      <c r="T136" s="3">
        <v>45657</v>
      </c>
      <c r="U136" s="1">
        <f t="shared" si="86"/>
        <v>9</v>
      </c>
      <c r="V136" s="1" t="s">
        <v>12</v>
      </c>
      <c r="W136" s="1" t="s">
        <v>12</v>
      </c>
      <c r="X136" s="3" t="s">
        <v>12</v>
      </c>
      <c r="Y136" s="1" t="s">
        <v>12</v>
      </c>
      <c r="AA136" s="3">
        <v>45674</v>
      </c>
      <c r="AE136" s="11">
        <f>AA136</f>
        <v>45674</v>
      </c>
      <c r="AF136" s="1">
        <f t="shared" si="83"/>
        <v>8</v>
      </c>
      <c r="AG136" s="1">
        <v>1</v>
      </c>
      <c r="AH136" s="5">
        <v>0.184</v>
      </c>
      <c r="AI136" s="1">
        <v>1</v>
      </c>
      <c r="AJ136" s="3">
        <v>45670</v>
      </c>
      <c r="AK136" s="5" t="s">
        <v>12</v>
      </c>
      <c r="AL136" s="5" t="s">
        <v>12</v>
      </c>
      <c r="AM136" s="1" t="s">
        <v>12</v>
      </c>
      <c r="AN136" s="3" t="s">
        <v>12</v>
      </c>
      <c r="AO136" s="1" t="s">
        <v>12</v>
      </c>
      <c r="AP136" s="5" t="s">
        <v>12</v>
      </c>
      <c r="AQ136" s="3" t="s">
        <v>12</v>
      </c>
      <c r="AR136" s="1" t="s">
        <v>12</v>
      </c>
      <c r="AS136" s="1">
        <v>3</v>
      </c>
      <c r="AT136" s="1">
        <v>5</v>
      </c>
      <c r="AU136" s="1">
        <v>5</v>
      </c>
      <c r="AV136" s="1">
        <f t="shared" si="80"/>
        <v>13</v>
      </c>
      <c r="AW136" s="1">
        <v>0</v>
      </c>
      <c r="AX136" s="1" t="s">
        <v>12</v>
      </c>
      <c r="AY136" s="1" t="s">
        <v>12</v>
      </c>
      <c r="AZ136" s="1">
        <f>AW136</f>
        <v>0</v>
      </c>
      <c r="BA136" s="1" t="s">
        <v>12</v>
      </c>
      <c r="BB136" s="1" t="s">
        <v>12</v>
      </c>
      <c r="BC136" s="1" t="s">
        <v>12</v>
      </c>
      <c r="BD136" s="1" t="s">
        <v>12</v>
      </c>
      <c r="BE136" s="1" t="s">
        <v>12</v>
      </c>
      <c r="BF136" s="1" t="s">
        <v>12</v>
      </c>
      <c r="BG136" s="1" t="s">
        <v>12</v>
      </c>
      <c r="BH136" s="1" t="s">
        <v>12</v>
      </c>
      <c r="BI136" s="1" t="s">
        <v>12</v>
      </c>
      <c r="BJ136" s="1" t="s">
        <v>12</v>
      </c>
      <c r="BK136" s="3" t="s">
        <v>12</v>
      </c>
      <c r="BL136" s="10" t="s">
        <v>12</v>
      </c>
      <c r="BM136" s="10" t="s">
        <v>12</v>
      </c>
      <c r="BN136" s="14" t="s">
        <v>12</v>
      </c>
      <c r="BO136" s="13" t="s">
        <v>12</v>
      </c>
      <c r="BP136" s="13" t="s">
        <v>12</v>
      </c>
      <c r="BQ136" s="13" t="s">
        <v>12</v>
      </c>
      <c r="BR136" s="13" t="s">
        <v>12</v>
      </c>
      <c r="BS136" s="13" t="s">
        <v>12</v>
      </c>
      <c r="BT136" s="13" t="s">
        <v>12</v>
      </c>
      <c r="BU136" s="13" t="s">
        <v>12</v>
      </c>
      <c r="BV136" s="13" t="s">
        <v>12</v>
      </c>
      <c r="BW136" s="13" t="s">
        <v>12</v>
      </c>
      <c r="BX136" s="13" t="s">
        <v>12</v>
      </c>
      <c r="BY136" s="13" t="s">
        <v>12</v>
      </c>
      <c r="BZ136" s="13" t="s">
        <v>12</v>
      </c>
      <c r="CA136" s="13" t="s">
        <v>12</v>
      </c>
      <c r="CB136" s="13" t="s">
        <v>12</v>
      </c>
      <c r="CC136" s="13" t="s">
        <v>12</v>
      </c>
      <c r="CD136" s="13"/>
      <c r="CE136" s="13" t="s">
        <v>12</v>
      </c>
      <c r="CF136" s="13" t="s">
        <v>12</v>
      </c>
      <c r="CG136" s="13" t="s">
        <v>12</v>
      </c>
      <c r="CH136" s="13" t="s">
        <v>12</v>
      </c>
      <c r="CI136" s="13" t="s">
        <v>12</v>
      </c>
      <c r="CJ136" s="13" t="s">
        <v>12</v>
      </c>
      <c r="CK136" s="13" t="s">
        <v>12</v>
      </c>
      <c r="CL136" s="13" t="s">
        <v>12</v>
      </c>
      <c r="CM136" s="13" t="s">
        <v>12</v>
      </c>
      <c r="CN136" s="13" t="s">
        <v>12</v>
      </c>
      <c r="CO136" s="13" t="s">
        <v>12</v>
      </c>
    </row>
    <row r="137" spans="1:99" x14ac:dyDescent="0.25">
      <c r="A137" s="1">
        <v>137</v>
      </c>
      <c r="B137" s="1">
        <v>135</v>
      </c>
      <c r="C137" s="2" t="s">
        <v>150</v>
      </c>
      <c r="D137" s="1" t="s">
        <v>280</v>
      </c>
      <c r="E137" s="1" t="s">
        <v>12</v>
      </c>
      <c r="F137" s="1" t="str">
        <f t="shared" si="84"/>
        <v>M</v>
      </c>
      <c r="G137" s="1" t="str">
        <f t="shared" si="85"/>
        <v>D</v>
      </c>
      <c r="H137" s="1">
        <v>1</v>
      </c>
      <c r="I137" s="1">
        <v>1</v>
      </c>
      <c r="J137" s="8" t="s">
        <v>276</v>
      </c>
      <c r="K137" s="8">
        <v>6</v>
      </c>
      <c r="L137" s="8">
        <v>3</v>
      </c>
      <c r="M137" s="8">
        <v>24.2</v>
      </c>
      <c r="N137" s="8">
        <v>14.2</v>
      </c>
      <c r="O137" s="8"/>
      <c r="P137" s="1" t="s">
        <v>8</v>
      </c>
      <c r="Q137" s="3">
        <v>45665</v>
      </c>
      <c r="R137" s="3">
        <v>45666</v>
      </c>
      <c r="S137" s="3">
        <v>45656</v>
      </c>
      <c r="T137" s="3">
        <v>45657</v>
      </c>
      <c r="U137" s="1">
        <f t="shared" si="86"/>
        <v>9</v>
      </c>
      <c r="V137" s="3">
        <v>45685</v>
      </c>
      <c r="W137" s="1">
        <f>_xlfn.DAYS(V137,R137)</f>
        <v>19</v>
      </c>
      <c r="X137" s="1" t="s">
        <v>12</v>
      </c>
      <c r="Y137" s="1" t="s">
        <v>12</v>
      </c>
      <c r="AA137" s="3">
        <v>45695</v>
      </c>
      <c r="AD137" s="11"/>
      <c r="AE137" s="11">
        <f>AA137</f>
        <v>45695</v>
      </c>
      <c r="AF137" s="1">
        <f t="shared" si="83"/>
        <v>29</v>
      </c>
      <c r="AG137" s="1">
        <v>1</v>
      </c>
      <c r="AH137" s="5">
        <v>0.49299999999999999</v>
      </c>
      <c r="AI137" s="1">
        <v>1</v>
      </c>
      <c r="AJ137" s="3">
        <v>45670</v>
      </c>
      <c r="AK137" s="5">
        <f>AL137-AH137</f>
        <v>8.1639999999999997</v>
      </c>
      <c r="AL137" s="5">
        <v>8.657</v>
      </c>
      <c r="AM137" s="1">
        <v>1</v>
      </c>
      <c r="AN137" s="3">
        <f>V137+1</f>
        <v>45686</v>
      </c>
      <c r="AO137" s="1" t="s">
        <v>12</v>
      </c>
      <c r="AP137" s="5" t="s">
        <v>12</v>
      </c>
      <c r="AQ137" s="3" t="s">
        <v>12</v>
      </c>
      <c r="AR137" s="1" t="s">
        <v>12</v>
      </c>
      <c r="AS137" s="1">
        <v>14</v>
      </c>
      <c r="AT137" s="1">
        <v>24</v>
      </c>
      <c r="AU137" s="1">
        <v>52</v>
      </c>
      <c r="AV137" s="1">
        <f t="shared" si="80"/>
        <v>90</v>
      </c>
      <c r="AW137" s="1">
        <v>58</v>
      </c>
      <c r="AX137" s="1">
        <v>148</v>
      </c>
      <c r="AY137" s="1">
        <v>262</v>
      </c>
      <c r="AZ137" s="1">
        <f t="shared" ref="AZ137:AZ145" si="87">SUM(AW137+AX137+AY137)</f>
        <v>468</v>
      </c>
      <c r="BA137" s="1">
        <v>239</v>
      </c>
      <c r="BB137" s="1">
        <v>7</v>
      </c>
      <c r="BC137" s="1">
        <v>0</v>
      </c>
      <c r="BD137" s="1">
        <v>0</v>
      </c>
      <c r="BE137" s="1" t="s">
        <v>12</v>
      </c>
      <c r="BF137" s="1" t="s">
        <v>12</v>
      </c>
      <c r="BG137" s="1" t="s">
        <v>12</v>
      </c>
      <c r="BH137" s="1" t="s">
        <v>12</v>
      </c>
      <c r="BI137" s="1">
        <f>BA137+BB137+BC137+BD137</f>
        <v>246</v>
      </c>
      <c r="BJ137" s="1">
        <f>AV137+AZ137+BI137</f>
        <v>804</v>
      </c>
      <c r="BK137" s="3" t="s">
        <v>12</v>
      </c>
      <c r="BL137" s="10" t="s">
        <v>12</v>
      </c>
      <c r="BM137" s="10" t="s">
        <v>12</v>
      </c>
      <c r="BN137" s="14" t="s">
        <v>12</v>
      </c>
      <c r="BO137" s="13" t="s">
        <v>12</v>
      </c>
      <c r="BP137" s="13" t="s">
        <v>12</v>
      </c>
      <c r="BQ137" s="13" t="s">
        <v>12</v>
      </c>
      <c r="BR137" s="13" t="s">
        <v>12</v>
      </c>
      <c r="BS137" s="13" t="s">
        <v>12</v>
      </c>
      <c r="BT137" s="13" t="s">
        <v>12</v>
      </c>
      <c r="BU137" s="13" t="s">
        <v>12</v>
      </c>
      <c r="BV137" s="13" t="s">
        <v>12</v>
      </c>
      <c r="BW137" s="13" t="s">
        <v>12</v>
      </c>
      <c r="BX137" s="13" t="s">
        <v>12</v>
      </c>
      <c r="BY137" s="13" t="s">
        <v>12</v>
      </c>
      <c r="BZ137" s="13" t="s">
        <v>12</v>
      </c>
      <c r="CA137" s="13" t="s">
        <v>12</v>
      </c>
      <c r="CB137" s="13" t="s">
        <v>12</v>
      </c>
      <c r="CC137" s="13" t="s">
        <v>12</v>
      </c>
      <c r="CD137" s="13"/>
      <c r="CE137" s="13" t="s">
        <v>12</v>
      </c>
      <c r="CF137" s="13" t="s">
        <v>12</v>
      </c>
      <c r="CG137" s="13" t="s">
        <v>12</v>
      </c>
      <c r="CH137" s="13" t="s">
        <v>12</v>
      </c>
      <c r="CI137" s="13" t="s">
        <v>12</v>
      </c>
      <c r="CJ137" s="13" t="s">
        <v>12</v>
      </c>
      <c r="CK137" s="13" t="s">
        <v>12</v>
      </c>
      <c r="CL137" s="13" t="s">
        <v>12</v>
      </c>
      <c r="CM137" s="13" t="s">
        <v>12</v>
      </c>
      <c r="CN137" s="13" t="s">
        <v>12</v>
      </c>
      <c r="CO137" s="13" t="s">
        <v>12</v>
      </c>
    </row>
    <row r="138" spans="1:99" x14ac:dyDescent="0.25">
      <c r="A138" s="1">
        <v>138</v>
      </c>
      <c r="B138" s="1">
        <v>136</v>
      </c>
      <c r="C138" s="2" t="s">
        <v>151</v>
      </c>
      <c r="D138" s="3" t="s">
        <v>10</v>
      </c>
      <c r="E138" s="1" t="str">
        <f>D138</f>
        <v>m</v>
      </c>
      <c r="F138" s="1" t="str">
        <f t="shared" si="84"/>
        <v>M</v>
      </c>
      <c r="G138" s="1" t="str">
        <f t="shared" si="85"/>
        <v>D</v>
      </c>
      <c r="H138" s="1">
        <v>1</v>
      </c>
      <c r="I138" s="1">
        <v>1</v>
      </c>
      <c r="J138" s="8" t="s">
        <v>276</v>
      </c>
      <c r="K138" s="8">
        <v>6</v>
      </c>
      <c r="L138" s="8">
        <v>3</v>
      </c>
      <c r="M138" s="8">
        <v>25.2</v>
      </c>
      <c r="N138" s="1">
        <v>14.2</v>
      </c>
      <c r="O138" s="8">
        <v>1</v>
      </c>
      <c r="P138" s="1" t="s">
        <v>8</v>
      </c>
      <c r="Q138" s="3">
        <v>45665</v>
      </c>
      <c r="R138" s="3">
        <v>45666</v>
      </c>
      <c r="S138" s="3">
        <v>45656</v>
      </c>
      <c r="T138" s="3">
        <v>45657</v>
      </c>
      <c r="U138" s="1">
        <f t="shared" si="86"/>
        <v>9</v>
      </c>
      <c r="V138" s="3">
        <v>45686</v>
      </c>
      <c r="W138" s="1">
        <f>_xlfn.DAYS(V138,R138)</f>
        <v>20</v>
      </c>
      <c r="X138" s="3">
        <v>45692</v>
      </c>
      <c r="Y138" s="1">
        <f>_xlfn.DAYS(X138,R138)</f>
        <v>26</v>
      </c>
      <c r="Z138" s="1">
        <f>_xlfn.DAYS(BK138,X138)</f>
        <v>7</v>
      </c>
      <c r="AB138" s="3">
        <v>45701</v>
      </c>
      <c r="AD138" s="11" t="s">
        <v>86</v>
      </c>
      <c r="AE138" s="11">
        <v>45697</v>
      </c>
      <c r="AF138" s="1">
        <f t="shared" si="83"/>
        <v>31</v>
      </c>
      <c r="AG138" s="8">
        <v>0</v>
      </c>
      <c r="AH138" s="5">
        <v>0.61099999999999999</v>
      </c>
      <c r="AI138" s="1">
        <v>1</v>
      </c>
      <c r="AJ138" s="3">
        <v>45670</v>
      </c>
      <c r="AK138" s="5">
        <f>AL138-AH138</f>
        <v>4.9710000000000001</v>
      </c>
      <c r="AL138" s="5">
        <v>5.5819999999999999</v>
      </c>
      <c r="AM138" s="1">
        <v>2</v>
      </c>
      <c r="AN138" s="3">
        <f>V138+1</f>
        <v>45687</v>
      </c>
      <c r="AO138" s="1">
        <v>5.4530000000000003</v>
      </c>
      <c r="AP138" s="8">
        <v>2</v>
      </c>
      <c r="AQ138" s="3">
        <f>X138+1</f>
        <v>45693</v>
      </c>
      <c r="AR138" s="5">
        <f>AO138-AH138</f>
        <v>4.8420000000000005</v>
      </c>
      <c r="AS138" s="1">
        <v>8</v>
      </c>
      <c r="AT138" s="1">
        <v>20</v>
      </c>
      <c r="AU138" s="1">
        <v>53</v>
      </c>
      <c r="AV138" s="1">
        <f t="shared" si="80"/>
        <v>81</v>
      </c>
      <c r="AW138" s="1">
        <v>18</v>
      </c>
      <c r="AX138" s="1">
        <v>18</v>
      </c>
      <c r="AY138" s="1">
        <v>165</v>
      </c>
      <c r="AZ138" s="1">
        <f t="shared" si="87"/>
        <v>201</v>
      </c>
      <c r="BA138" s="1">
        <v>298</v>
      </c>
      <c r="BB138" s="1">
        <v>87</v>
      </c>
      <c r="BC138" s="1">
        <v>0</v>
      </c>
      <c r="BD138" s="1">
        <v>0</v>
      </c>
      <c r="BE138" s="1" t="s">
        <v>12</v>
      </c>
      <c r="BF138" s="1" t="s">
        <v>12</v>
      </c>
      <c r="BG138" s="1" t="s">
        <v>12</v>
      </c>
      <c r="BH138" s="1" t="s">
        <v>12</v>
      </c>
      <c r="BI138" s="1">
        <f>BA138+BB138+BC138+BD138</f>
        <v>385</v>
      </c>
      <c r="BJ138" s="1">
        <f>AV138+AZ138+BI138</f>
        <v>667</v>
      </c>
      <c r="BK138" s="3">
        <v>45699</v>
      </c>
      <c r="BL138" s="6" t="s">
        <v>120</v>
      </c>
      <c r="BM138" s="6"/>
      <c r="BN138" s="6" t="s">
        <v>222</v>
      </c>
      <c r="BO138" s="13">
        <v>0</v>
      </c>
      <c r="BP138" s="13">
        <v>60</v>
      </c>
      <c r="BQ138" s="1">
        <v>2</v>
      </c>
      <c r="BR138" s="1">
        <v>0</v>
      </c>
      <c r="BS138" s="1">
        <f>BQ138+BR138</f>
        <v>2</v>
      </c>
      <c r="BT138" s="1">
        <v>9</v>
      </c>
      <c r="BU138" s="1">
        <v>0</v>
      </c>
      <c r="BV138" s="1">
        <f>BT138+BU138</f>
        <v>9</v>
      </c>
      <c r="BW138" s="1">
        <v>10</v>
      </c>
      <c r="BX138" s="1">
        <v>0</v>
      </c>
      <c r="BY138" s="1">
        <f>BW138+BX138</f>
        <v>10</v>
      </c>
      <c r="BZ138" s="1">
        <v>7</v>
      </c>
      <c r="CA138" s="1">
        <v>0</v>
      </c>
      <c r="CB138" s="1">
        <f>BZ138+CA138</f>
        <v>7</v>
      </c>
      <c r="CC138" s="1">
        <f>BS138+BV138+BY138+CB138</f>
        <v>28</v>
      </c>
      <c r="CE138" s="7">
        <f>CC138+CD138</f>
        <v>28</v>
      </c>
      <c r="CF138" s="8">
        <v>0</v>
      </c>
      <c r="CG138" s="8">
        <v>4</v>
      </c>
      <c r="CH138" s="8">
        <v>10</v>
      </c>
      <c r="CI138" s="8">
        <v>6</v>
      </c>
      <c r="CJ138" s="8">
        <v>0</v>
      </c>
      <c r="CK138" s="8">
        <v>0</v>
      </c>
      <c r="CL138" s="8">
        <v>0</v>
      </c>
      <c r="CM138" s="8">
        <v>0</v>
      </c>
      <c r="CN138" s="1">
        <f>CF138+CG138+CH138+CI138+CJ138+CK138+CL138+CM138</f>
        <v>20</v>
      </c>
      <c r="CO138" s="1">
        <f>CN138/CE138</f>
        <v>0.7142857142857143</v>
      </c>
      <c r="CP138" s="8">
        <v>4.0199999999999996</v>
      </c>
      <c r="CQ138" s="8">
        <v>5</v>
      </c>
      <c r="CR138" s="1">
        <f>CP138/CQ138</f>
        <v>0.80399999999999994</v>
      </c>
      <c r="CS138" s="1">
        <v>0.53100000000000003</v>
      </c>
      <c r="CT138" s="8">
        <v>1</v>
      </c>
      <c r="CU138" s="1">
        <f>CS138/CT138</f>
        <v>0.53100000000000003</v>
      </c>
    </row>
    <row r="139" spans="1:99" x14ac:dyDescent="0.25">
      <c r="A139" s="1">
        <v>139</v>
      </c>
      <c r="B139" s="1">
        <v>137</v>
      </c>
      <c r="C139" s="2" t="s">
        <v>14</v>
      </c>
      <c r="D139" s="3" t="s">
        <v>27</v>
      </c>
      <c r="E139" s="1" t="str">
        <f>D139</f>
        <v>f</v>
      </c>
      <c r="F139" s="1" t="str">
        <f t="shared" si="84"/>
        <v>I</v>
      </c>
      <c r="G139" s="1" t="str">
        <f t="shared" si="85"/>
        <v>C</v>
      </c>
      <c r="H139" s="1">
        <v>0</v>
      </c>
      <c r="I139" s="1">
        <v>1</v>
      </c>
      <c r="J139" s="8" t="s">
        <v>278</v>
      </c>
      <c r="K139" s="8">
        <v>6</v>
      </c>
      <c r="L139" s="8">
        <v>3</v>
      </c>
      <c r="M139" s="8">
        <v>25.2</v>
      </c>
      <c r="N139" s="8">
        <v>15.2</v>
      </c>
      <c r="O139" s="8">
        <v>1</v>
      </c>
      <c r="P139" s="1" t="s">
        <v>8</v>
      </c>
      <c r="Q139" s="3">
        <v>45665</v>
      </c>
      <c r="R139" s="3">
        <v>45666</v>
      </c>
      <c r="S139" s="3">
        <v>45656</v>
      </c>
      <c r="T139" s="3">
        <v>45657</v>
      </c>
      <c r="U139" s="1">
        <f t="shared" si="86"/>
        <v>9</v>
      </c>
      <c r="V139" s="3">
        <v>45685</v>
      </c>
      <c r="W139" s="1">
        <f>_xlfn.DAYS(V139,R139)</f>
        <v>19</v>
      </c>
      <c r="X139" s="3">
        <v>45691</v>
      </c>
      <c r="Y139" s="1">
        <f>_xlfn.DAYS(X139,R139)</f>
        <v>25</v>
      </c>
      <c r="AA139" s="3">
        <v>45694</v>
      </c>
      <c r="AD139" s="11"/>
      <c r="AE139" s="11">
        <f>AA139</f>
        <v>45694</v>
      </c>
      <c r="AF139" s="1">
        <f t="shared" si="83"/>
        <v>28</v>
      </c>
      <c r="AG139" s="1">
        <v>1</v>
      </c>
      <c r="AH139" s="5">
        <v>0.83</v>
      </c>
      <c r="AI139" s="1">
        <v>1</v>
      </c>
      <c r="AJ139" s="3">
        <v>45670</v>
      </c>
      <c r="AK139" s="5">
        <f>AL139-AH139</f>
        <v>9.1379999999999999</v>
      </c>
      <c r="AL139" s="5">
        <v>9.968</v>
      </c>
      <c r="AM139" s="1">
        <v>1</v>
      </c>
      <c r="AN139" s="3">
        <f>V139+1</f>
        <v>45686</v>
      </c>
      <c r="AO139" s="1" t="s">
        <v>12</v>
      </c>
      <c r="AP139" s="8">
        <v>2</v>
      </c>
      <c r="AQ139" s="3">
        <f>X139+1</f>
        <v>45692</v>
      </c>
      <c r="AR139" s="5" t="e">
        <f>AO139-AH139</f>
        <v>#VALUE!</v>
      </c>
      <c r="AS139" s="1">
        <v>16</v>
      </c>
      <c r="AT139" s="1">
        <v>28</v>
      </c>
      <c r="AU139" s="1">
        <v>74</v>
      </c>
      <c r="AV139" s="1">
        <f t="shared" si="80"/>
        <v>118</v>
      </c>
      <c r="AW139" s="1">
        <v>80</v>
      </c>
      <c r="AX139" s="1">
        <v>161</v>
      </c>
      <c r="AY139" s="1">
        <v>287</v>
      </c>
      <c r="AZ139" s="1">
        <f t="shared" si="87"/>
        <v>528</v>
      </c>
      <c r="BA139" s="1">
        <v>163</v>
      </c>
      <c r="BB139" s="1">
        <v>5</v>
      </c>
      <c r="BC139" s="1">
        <v>0</v>
      </c>
      <c r="BD139" s="1">
        <v>0</v>
      </c>
      <c r="BE139" s="1" t="s">
        <v>12</v>
      </c>
      <c r="BF139" s="1" t="s">
        <v>12</v>
      </c>
      <c r="BG139" s="1" t="s">
        <v>12</v>
      </c>
      <c r="BH139" s="1" t="s">
        <v>12</v>
      </c>
      <c r="BI139" s="1">
        <f>BA139+BB139+BC139+BD139</f>
        <v>168</v>
      </c>
      <c r="BJ139" s="1">
        <f>AV139+AZ139+BI139</f>
        <v>814</v>
      </c>
      <c r="BK139" s="3" t="s">
        <v>12</v>
      </c>
      <c r="BL139" s="10" t="s">
        <v>12</v>
      </c>
      <c r="BM139" s="10" t="s">
        <v>12</v>
      </c>
      <c r="BN139" s="14" t="s">
        <v>12</v>
      </c>
      <c r="BO139" s="13" t="s">
        <v>12</v>
      </c>
      <c r="BP139" s="13" t="s">
        <v>12</v>
      </c>
      <c r="BQ139" s="13" t="s">
        <v>12</v>
      </c>
      <c r="BR139" s="13" t="s">
        <v>12</v>
      </c>
      <c r="BS139" s="13" t="s">
        <v>12</v>
      </c>
      <c r="BT139" s="13" t="s">
        <v>12</v>
      </c>
      <c r="BU139" s="13" t="s">
        <v>12</v>
      </c>
      <c r="BV139" s="13" t="s">
        <v>12</v>
      </c>
      <c r="BW139" s="13" t="s">
        <v>12</v>
      </c>
      <c r="BX139" s="13" t="s">
        <v>12</v>
      </c>
      <c r="BY139" s="13" t="s">
        <v>12</v>
      </c>
      <c r="BZ139" s="13" t="s">
        <v>12</v>
      </c>
      <c r="CA139" s="13" t="s">
        <v>12</v>
      </c>
      <c r="CB139" s="13" t="s">
        <v>12</v>
      </c>
      <c r="CC139" s="13" t="s">
        <v>12</v>
      </c>
      <c r="CD139" s="13"/>
      <c r="CE139" s="13" t="s">
        <v>12</v>
      </c>
      <c r="CF139" s="13" t="s">
        <v>12</v>
      </c>
      <c r="CG139" s="13" t="s">
        <v>12</v>
      </c>
      <c r="CH139" s="13" t="s">
        <v>12</v>
      </c>
      <c r="CI139" s="13" t="s">
        <v>12</v>
      </c>
      <c r="CJ139" s="13" t="s">
        <v>12</v>
      </c>
      <c r="CK139" s="13" t="s">
        <v>12</v>
      </c>
      <c r="CL139" s="13" t="s">
        <v>12</v>
      </c>
      <c r="CM139" s="13" t="s">
        <v>12</v>
      </c>
      <c r="CN139" s="13" t="s">
        <v>12</v>
      </c>
      <c r="CO139" s="13" t="s">
        <v>12</v>
      </c>
    </row>
    <row r="140" spans="1:99" x14ac:dyDescent="0.25">
      <c r="A140" s="1">
        <v>140</v>
      </c>
      <c r="B140" s="1">
        <v>138</v>
      </c>
      <c r="C140" s="2" t="s">
        <v>84</v>
      </c>
      <c r="D140" s="3" t="s">
        <v>10</v>
      </c>
      <c r="E140" s="1" t="str">
        <f>D140</f>
        <v>m</v>
      </c>
      <c r="F140" s="1" t="str">
        <f t="shared" si="84"/>
        <v>C</v>
      </c>
      <c r="G140" s="1" t="str">
        <f t="shared" si="85"/>
        <v>A</v>
      </c>
      <c r="H140" s="1">
        <v>0</v>
      </c>
      <c r="I140" s="1">
        <v>0</v>
      </c>
      <c r="J140" s="8" t="s">
        <v>278</v>
      </c>
      <c r="K140" s="8">
        <v>6</v>
      </c>
      <c r="L140" s="8">
        <v>3</v>
      </c>
      <c r="M140" s="8">
        <v>25.2</v>
      </c>
      <c r="N140" s="8">
        <v>16.2</v>
      </c>
      <c r="O140" s="8">
        <v>1</v>
      </c>
      <c r="P140" s="1" t="s">
        <v>8</v>
      </c>
      <c r="Q140" s="3">
        <v>45665</v>
      </c>
      <c r="R140" s="3">
        <v>45666</v>
      </c>
      <c r="S140" s="3">
        <v>45656</v>
      </c>
      <c r="T140" s="3">
        <v>45657</v>
      </c>
      <c r="U140" s="1">
        <f t="shared" si="86"/>
        <v>9</v>
      </c>
      <c r="V140" s="3">
        <v>45683</v>
      </c>
      <c r="W140" s="1">
        <f>_xlfn.DAYS(V140,R140)</f>
        <v>17</v>
      </c>
      <c r="X140" s="3">
        <v>45689</v>
      </c>
      <c r="Y140" s="1">
        <f>_xlfn.DAYS(X140,R140)</f>
        <v>23</v>
      </c>
      <c r="Z140" s="1">
        <f>_xlfn.DAYS(BK140,X140)</f>
        <v>7</v>
      </c>
      <c r="AB140" s="3">
        <v>45698</v>
      </c>
      <c r="AD140" s="11" t="s">
        <v>86</v>
      </c>
      <c r="AE140" s="11">
        <v>45697</v>
      </c>
      <c r="AF140" s="1">
        <f t="shared" si="83"/>
        <v>31</v>
      </c>
      <c r="AG140" s="8">
        <v>0</v>
      </c>
      <c r="AH140" s="5">
        <v>0.77300000000000002</v>
      </c>
      <c r="AI140" s="1">
        <v>1</v>
      </c>
      <c r="AJ140" s="3">
        <v>45670</v>
      </c>
      <c r="AK140" s="5">
        <f>AL140-AH140</f>
        <v>5.9240000000000004</v>
      </c>
      <c r="AL140" s="5">
        <v>6.6970000000000001</v>
      </c>
      <c r="AM140" s="1">
        <v>2</v>
      </c>
      <c r="AN140" s="3">
        <f>V140+1</f>
        <v>45684</v>
      </c>
      <c r="AO140" s="1">
        <v>6.1369999999999996</v>
      </c>
      <c r="AP140" s="8">
        <v>2</v>
      </c>
      <c r="AQ140" s="3">
        <f>X140+1</f>
        <v>45690</v>
      </c>
      <c r="AR140" s="5">
        <f>AO140-AH140</f>
        <v>5.3639999999999999</v>
      </c>
      <c r="AS140" s="1">
        <v>7</v>
      </c>
      <c r="AT140" s="1">
        <v>16</v>
      </c>
      <c r="AU140" s="1">
        <v>83</v>
      </c>
      <c r="AV140" s="1">
        <f t="shared" si="80"/>
        <v>106</v>
      </c>
      <c r="AW140" s="1">
        <v>84</v>
      </c>
      <c r="AX140" s="1">
        <v>206</v>
      </c>
      <c r="AY140" s="1">
        <v>182</v>
      </c>
      <c r="AZ140" s="1">
        <f t="shared" si="87"/>
        <v>472</v>
      </c>
      <c r="BA140" s="1">
        <v>0</v>
      </c>
      <c r="BB140" s="1">
        <v>0</v>
      </c>
      <c r="BC140" s="1">
        <v>0</v>
      </c>
      <c r="BD140" s="1" t="s">
        <v>12</v>
      </c>
      <c r="BE140" s="1" t="s">
        <v>12</v>
      </c>
      <c r="BF140" s="1" t="s">
        <v>12</v>
      </c>
      <c r="BG140" s="1" t="s">
        <v>12</v>
      </c>
      <c r="BH140" s="1" t="s">
        <v>12</v>
      </c>
      <c r="BI140" s="1">
        <f>BA140+BB140+BC140</f>
        <v>0</v>
      </c>
      <c r="BJ140" s="1">
        <f>AV140+AZ140+BI140</f>
        <v>578</v>
      </c>
      <c r="BK140" s="3">
        <v>45696</v>
      </c>
      <c r="BL140" s="6" t="s">
        <v>83</v>
      </c>
      <c r="BM140" s="6"/>
      <c r="BN140" s="6" t="s">
        <v>207</v>
      </c>
      <c r="BO140" s="13">
        <v>29.33</v>
      </c>
      <c r="BP140" s="13">
        <v>30.27</v>
      </c>
      <c r="BQ140" s="1">
        <v>6</v>
      </c>
      <c r="BR140" s="1">
        <v>0</v>
      </c>
      <c r="BS140" s="1">
        <f>BQ140+BR140</f>
        <v>6</v>
      </c>
      <c r="BT140" s="1">
        <v>12</v>
      </c>
      <c r="BU140" s="1">
        <v>0</v>
      </c>
      <c r="BV140" s="1">
        <f>BT140+BU140</f>
        <v>12</v>
      </c>
      <c r="BW140" s="1">
        <v>8</v>
      </c>
      <c r="BX140" s="1">
        <v>0</v>
      </c>
      <c r="BY140" s="1">
        <f>BW140+BX140</f>
        <v>8</v>
      </c>
      <c r="BZ140" s="1">
        <v>7</v>
      </c>
      <c r="CA140" s="1">
        <v>0</v>
      </c>
      <c r="CB140" s="1">
        <f>BZ140+CA140</f>
        <v>7</v>
      </c>
      <c r="CC140" s="1">
        <f>BS140+BV140+BY140+CB140</f>
        <v>33</v>
      </c>
      <c r="CE140" s="7">
        <f>CC140+CD140</f>
        <v>33</v>
      </c>
      <c r="CF140" s="8">
        <v>1</v>
      </c>
      <c r="CG140" s="8">
        <v>8</v>
      </c>
      <c r="CH140" s="8">
        <v>13</v>
      </c>
      <c r="CI140" s="8">
        <v>5</v>
      </c>
      <c r="CJ140" s="8">
        <v>5</v>
      </c>
      <c r="CK140" s="8">
        <v>0</v>
      </c>
      <c r="CL140" s="8">
        <v>0</v>
      </c>
      <c r="CM140" s="8">
        <v>0</v>
      </c>
      <c r="CN140" s="1">
        <f>CF140+CG140+CH140+CI140+CJ140+CK140+CL140+CM140</f>
        <v>32</v>
      </c>
      <c r="CO140" s="1">
        <f>CN140/CE140</f>
        <v>0.96969696969696972</v>
      </c>
      <c r="CP140" s="8">
        <v>3.66</v>
      </c>
      <c r="CQ140" s="8">
        <v>4</v>
      </c>
      <c r="CR140" s="1">
        <f>CP140/CQ140</f>
        <v>0.91500000000000004</v>
      </c>
      <c r="CS140" s="1">
        <v>5.59</v>
      </c>
      <c r="CT140" s="8">
        <v>5</v>
      </c>
      <c r="CU140" s="1">
        <f>CS140/CT140</f>
        <v>1.1179999999999999</v>
      </c>
    </row>
    <row r="141" spans="1:99" x14ac:dyDescent="0.25">
      <c r="A141" s="1">
        <v>141</v>
      </c>
      <c r="B141" s="1">
        <v>139</v>
      </c>
      <c r="C141" s="2" t="s">
        <v>152</v>
      </c>
      <c r="D141" s="1" t="s">
        <v>280</v>
      </c>
      <c r="E141" s="1" t="s">
        <v>12</v>
      </c>
      <c r="F141" s="1" t="str">
        <f t="shared" si="84"/>
        <v>A</v>
      </c>
      <c r="G141" s="1" t="str">
        <f t="shared" si="85"/>
        <v>B</v>
      </c>
      <c r="H141" s="1">
        <v>1</v>
      </c>
      <c r="I141" s="1">
        <v>0</v>
      </c>
      <c r="J141" s="8" t="s">
        <v>278</v>
      </c>
      <c r="K141" s="8">
        <v>6</v>
      </c>
      <c r="L141" s="8">
        <v>3</v>
      </c>
      <c r="M141" s="8">
        <v>25.2</v>
      </c>
      <c r="N141" s="8">
        <v>17.2</v>
      </c>
      <c r="O141" s="8"/>
      <c r="P141" s="1" t="s">
        <v>8</v>
      </c>
      <c r="Q141" s="3">
        <v>45665</v>
      </c>
      <c r="R141" s="3">
        <v>45666</v>
      </c>
      <c r="S141" s="3">
        <v>45656</v>
      </c>
      <c r="T141" s="3">
        <v>45657</v>
      </c>
      <c r="U141" s="1">
        <f t="shared" si="86"/>
        <v>9</v>
      </c>
      <c r="V141" s="1" t="s">
        <v>12</v>
      </c>
      <c r="W141" s="1" t="s">
        <v>12</v>
      </c>
      <c r="X141" s="3" t="s">
        <v>12</v>
      </c>
      <c r="Y141" s="1" t="s">
        <v>12</v>
      </c>
      <c r="AA141" s="3">
        <v>45678</v>
      </c>
      <c r="AE141" s="11">
        <f>AA141</f>
        <v>45678</v>
      </c>
      <c r="AF141" s="1">
        <f t="shared" si="83"/>
        <v>12</v>
      </c>
      <c r="AG141" s="1">
        <v>1</v>
      </c>
      <c r="AH141" s="5">
        <v>0.44400000000000001</v>
      </c>
      <c r="AI141" s="1">
        <v>1</v>
      </c>
      <c r="AJ141" s="3">
        <v>45670</v>
      </c>
      <c r="AK141" s="5" t="s">
        <v>12</v>
      </c>
      <c r="AL141" s="5" t="s">
        <v>12</v>
      </c>
      <c r="AM141" s="1" t="s">
        <v>12</v>
      </c>
      <c r="AN141" s="3" t="s">
        <v>12</v>
      </c>
      <c r="AO141" s="1" t="s">
        <v>12</v>
      </c>
      <c r="AP141" s="5" t="s">
        <v>12</v>
      </c>
      <c r="AQ141" s="3" t="s">
        <v>12</v>
      </c>
      <c r="AR141" s="1" t="s">
        <v>12</v>
      </c>
      <c r="AS141" s="1">
        <v>8</v>
      </c>
      <c r="AT141" s="1">
        <v>17</v>
      </c>
      <c r="AU141" s="1">
        <v>15</v>
      </c>
      <c r="AV141" s="1">
        <f t="shared" si="80"/>
        <v>40</v>
      </c>
      <c r="AW141" s="1">
        <v>19</v>
      </c>
      <c r="AX141" s="1">
        <v>19</v>
      </c>
      <c r="AY141" s="1">
        <v>3</v>
      </c>
      <c r="AZ141" s="1">
        <f t="shared" si="87"/>
        <v>41</v>
      </c>
      <c r="BA141" s="1" t="s">
        <v>12</v>
      </c>
      <c r="BB141" s="1" t="s">
        <v>12</v>
      </c>
      <c r="BC141" s="1" t="s">
        <v>12</v>
      </c>
      <c r="BD141" s="1" t="s">
        <v>12</v>
      </c>
      <c r="BE141" s="1" t="s">
        <v>12</v>
      </c>
      <c r="BF141" s="1" t="s">
        <v>12</v>
      </c>
      <c r="BG141" s="1" t="s">
        <v>12</v>
      </c>
      <c r="BH141" s="1" t="s">
        <v>12</v>
      </c>
      <c r="BI141" s="1" t="s">
        <v>12</v>
      </c>
      <c r="BJ141" s="1" t="s">
        <v>12</v>
      </c>
      <c r="BK141" s="3" t="s">
        <v>12</v>
      </c>
      <c r="BL141" s="10" t="s">
        <v>12</v>
      </c>
      <c r="BM141" s="10" t="s">
        <v>12</v>
      </c>
      <c r="BN141" s="14" t="s">
        <v>12</v>
      </c>
      <c r="BO141" s="13" t="s">
        <v>12</v>
      </c>
      <c r="BP141" s="13" t="s">
        <v>12</v>
      </c>
      <c r="BQ141" s="13" t="s">
        <v>12</v>
      </c>
      <c r="BR141" s="13" t="s">
        <v>12</v>
      </c>
      <c r="BS141" s="13" t="s">
        <v>12</v>
      </c>
      <c r="BT141" s="13" t="s">
        <v>12</v>
      </c>
      <c r="BU141" s="13" t="s">
        <v>12</v>
      </c>
      <c r="BV141" s="13" t="s">
        <v>12</v>
      </c>
      <c r="BW141" s="13" t="s">
        <v>12</v>
      </c>
      <c r="BX141" s="13" t="s">
        <v>12</v>
      </c>
      <c r="BY141" s="13" t="s">
        <v>12</v>
      </c>
      <c r="BZ141" s="13" t="s">
        <v>12</v>
      </c>
      <c r="CA141" s="13" t="s">
        <v>12</v>
      </c>
      <c r="CB141" s="13" t="s">
        <v>12</v>
      </c>
      <c r="CC141" s="13" t="s">
        <v>12</v>
      </c>
      <c r="CD141" s="13"/>
      <c r="CE141" s="13" t="s">
        <v>12</v>
      </c>
      <c r="CF141" s="13" t="s">
        <v>12</v>
      </c>
      <c r="CG141" s="13" t="s">
        <v>12</v>
      </c>
      <c r="CH141" s="13" t="s">
        <v>12</v>
      </c>
      <c r="CI141" s="13" t="s">
        <v>12</v>
      </c>
      <c r="CJ141" s="13" t="s">
        <v>12</v>
      </c>
      <c r="CK141" s="13" t="s">
        <v>12</v>
      </c>
      <c r="CL141" s="13" t="s">
        <v>12</v>
      </c>
      <c r="CM141" s="13" t="s">
        <v>12</v>
      </c>
      <c r="CN141" s="13" t="s">
        <v>12</v>
      </c>
      <c r="CO141" s="13" t="s">
        <v>12</v>
      </c>
    </row>
    <row r="142" spans="1:99" x14ac:dyDescent="0.25">
      <c r="A142" s="1">
        <v>142</v>
      </c>
      <c r="B142" s="1">
        <v>140</v>
      </c>
      <c r="C142" s="2" t="s">
        <v>153</v>
      </c>
      <c r="D142" s="1" t="s">
        <v>280</v>
      </c>
      <c r="E142" s="1" t="s">
        <v>12</v>
      </c>
      <c r="F142" s="1" t="str">
        <f t="shared" si="84"/>
        <v>M</v>
      </c>
      <c r="G142" s="1" t="str">
        <f t="shared" si="85"/>
        <v>D</v>
      </c>
      <c r="H142" s="1">
        <v>1</v>
      </c>
      <c r="I142" s="1">
        <v>1</v>
      </c>
      <c r="J142" s="8" t="s">
        <v>276</v>
      </c>
      <c r="K142" s="8">
        <v>6</v>
      </c>
      <c r="L142" s="8">
        <v>3</v>
      </c>
      <c r="M142" s="8">
        <v>26.2</v>
      </c>
      <c r="N142" s="8">
        <v>17.2</v>
      </c>
      <c r="O142" s="8"/>
      <c r="P142" s="1" t="s">
        <v>8</v>
      </c>
      <c r="Q142" s="3">
        <v>45665</v>
      </c>
      <c r="R142" s="3">
        <v>45666</v>
      </c>
      <c r="S142" s="3">
        <v>45656</v>
      </c>
      <c r="T142" s="3">
        <v>45657</v>
      </c>
      <c r="U142" s="1">
        <f t="shared" si="86"/>
        <v>9</v>
      </c>
      <c r="V142" s="1" t="s">
        <v>12</v>
      </c>
      <c r="W142" s="1" t="s">
        <v>12</v>
      </c>
      <c r="X142" s="3" t="s">
        <v>12</v>
      </c>
      <c r="Y142" s="1" t="s">
        <v>12</v>
      </c>
      <c r="AA142" s="3">
        <v>45678</v>
      </c>
      <c r="AE142" s="11">
        <f>AA142</f>
        <v>45678</v>
      </c>
      <c r="AF142" s="1">
        <f t="shared" si="83"/>
        <v>12</v>
      </c>
      <c r="AG142" s="1">
        <v>1</v>
      </c>
      <c r="AH142" s="5">
        <v>0.79100000000000004</v>
      </c>
      <c r="AI142" s="1">
        <v>1</v>
      </c>
      <c r="AJ142" s="3">
        <v>45670</v>
      </c>
      <c r="AK142" s="5" t="s">
        <v>12</v>
      </c>
      <c r="AL142" s="5" t="s">
        <v>12</v>
      </c>
      <c r="AM142" s="1" t="s">
        <v>12</v>
      </c>
      <c r="AN142" s="3" t="s">
        <v>12</v>
      </c>
      <c r="AO142" s="1" t="s">
        <v>12</v>
      </c>
      <c r="AP142" s="5" t="s">
        <v>12</v>
      </c>
      <c r="AQ142" s="3" t="s">
        <v>12</v>
      </c>
      <c r="AR142" s="1" t="s">
        <v>12</v>
      </c>
      <c r="AS142" s="1">
        <v>13</v>
      </c>
      <c r="AT142" s="1">
        <v>23</v>
      </c>
      <c r="AU142" s="1">
        <v>71</v>
      </c>
      <c r="AV142" s="1">
        <f t="shared" si="80"/>
        <v>107</v>
      </c>
      <c r="AW142" s="1">
        <v>15</v>
      </c>
      <c r="AX142" s="1">
        <v>5</v>
      </c>
      <c r="AY142" s="1">
        <v>3</v>
      </c>
      <c r="AZ142" s="1">
        <f t="shared" si="87"/>
        <v>23</v>
      </c>
      <c r="BA142" s="1" t="s">
        <v>12</v>
      </c>
      <c r="BB142" s="1" t="s">
        <v>12</v>
      </c>
      <c r="BC142" s="1" t="s">
        <v>12</v>
      </c>
      <c r="BD142" s="1" t="s">
        <v>12</v>
      </c>
      <c r="BE142" s="1" t="s">
        <v>12</v>
      </c>
      <c r="BF142" s="1" t="s">
        <v>12</v>
      </c>
      <c r="BG142" s="1" t="s">
        <v>12</v>
      </c>
      <c r="BH142" s="1" t="s">
        <v>12</v>
      </c>
      <c r="BI142" s="1" t="s">
        <v>12</v>
      </c>
      <c r="BJ142" s="1" t="s">
        <v>12</v>
      </c>
      <c r="BK142" s="3" t="s">
        <v>12</v>
      </c>
      <c r="BL142" s="10" t="s">
        <v>12</v>
      </c>
      <c r="BM142" s="10" t="s">
        <v>12</v>
      </c>
      <c r="BN142" s="14" t="s">
        <v>12</v>
      </c>
      <c r="BO142" s="13" t="s">
        <v>12</v>
      </c>
      <c r="BP142" s="13" t="s">
        <v>12</v>
      </c>
      <c r="BQ142" s="13" t="s">
        <v>12</v>
      </c>
      <c r="BR142" s="13" t="s">
        <v>12</v>
      </c>
      <c r="BS142" s="13" t="s">
        <v>12</v>
      </c>
      <c r="BT142" s="13" t="s">
        <v>12</v>
      </c>
      <c r="BU142" s="13" t="s">
        <v>12</v>
      </c>
      <c r="BV142" s="13" t="s">
        <v>12</v>
      </c>
      <c r="BW142" s="13" t="s">
        <v>12</v>
      </c>
      <c r="BX142" s="13" t="s">
        <v>12</v>
      </c>
      <c r="BY142" s="13" t="s">
        <v>12</v>
      </c>
      <c r="BZ142" s="13" t="s">
        <v>12</v>
      </c>
      <c r="CA142" s="13" t="s">
        <v>12</v>
      </c>
      <c r="CB142" s="13" t="s">
        <v>12</v>
      </c>
      <c r="CC142" s="13" t="s">
        <v>12</v>
      </c>
      <c r="CD142" s="13"/>
      <c r="CE142" s="13" t="s">
        <v>12</v>
      </c>
      <c r="CF142" s="13" t="s">
        <v>12</v>
      </c>
      <c r="CG142" s="13" t="s">
        <v>12</v>
      </c>
      <c r="CH142" s="13" t="s">
        <v>12</v>
      </c>
      <c r="CI142" s="13" t="s">
        <v>12</v>
      </c>
      <c r="CJ142" s="13" t="s">
        <v>12</v>
      </c>
      <c r="CK142" s="13" t="s">
        <v>12</v>
      </c>
      <c r="CL142" s="13" t="s">
        <v>12</v>
      </c>
      <c r="CM142" s="13" t="s">
        <v>12</v>
      </c>
      <c r="CN142" s="13" t="s">
        <v>12</v>
      </c>
      <c r="CO142" s="13" t="s">
        <v>12</v>
      </c>
    </row>
    <row r="143" spans="1:99" x14ac:dyDescent="0.25">
      <c r="A143" s="1">
        <v>143</v>
      </c>
      <c r="B143" s="1">
        <v>141</v>
      </c>
      <c r="C143" s="2" t="s">
        <v>105</v>
      </c>
      <c r="D143" s="3" t="s">
        <v>10</v>
      </c>
      <c r="E143" s="1" t="str">
        <f>D143</f>
        <v>m</v>
      </c>
      <c r="F143" s="1" t="str">
        <f t="shared" si="84"/>
        <v>C</v>
      </c>
      <c r="G143" s="1" t="str">
        <f t="shared" si="85"/>
        <v>A</v>
      </c>
      <c r="H143" s="1">
        <v>0</v>
      </c>
      <c r="I143" s="1">
        <v>0</v>
      </c>
      <c r="J143" s="8" t="s">
        <v>278</v>
      </c>
      <c r="K143" s="8">
        <v>6</v>
      </c>
      <c r="L143" s="8">
        <v>3</v>
      </c>
      <c r="M143" s="8">
        <v>26.2</v>
      </c>
      <c r="N143" s="8">
        <v>16.2</v>
      </c>
      <c r="O143" s="8">
        <v>1</v>
      </c>
      <c r="P143" s="1" t="s">
        <v>8</v>
      </c>
      <c r="Q143" s="3">
        <v>45665</v>
      </c>
      <c r="R143" s="3">
        <v>45666</v>
      </c>
      <c r="S143" s="3">
        <v>45656</v>
      </c>
      <c r="T143" s="3">
        <v>45657</v>
      </c>
      <c r="U143" s="1">
        <f t="shared" si="86"/>
        <v>9</v>
      </c>
      <c r="V143" s="3">
        <v>45685</v>
      </c>
      <c r="W143" s="1">
        <f>_xlfn.DAYS(V143,R143)</f>
        <v>19</v>
      </c>
      <c r="X143" s="3">
        <v>45691</v>
      </c>
      <c r="Y143" s="1">
        <f>_xlfn.DAYS(X143,R143)</f>
        <v>25</v>
      </c>
      <c r="Z143" s="1">
        <f>_xlfn.DAYS(BK143,X143)</f>
        <v>7</v>
      </c>
      <c r="AB143" s="3">
        <v>45700</v>
      </c>
      <c r="AD143" s="11" t="s">
        <v>86</v>
      </c>
      <c r="AE143" s="11">
        <v>45697</v>
      </c>
      <c r="AF143" s="1">
        <f t="shared" si="83"/>
        <v>31</v>
      </c>
      <c r="AG143" s="8">
        <v>0</v>
      </c>
      <c r="AH143" s="5">
        <v>0.72699999999999998</v>
      </c>
      <c r="AI143" s="1">
        <v>1</v>
      </c>
      <c r="AJ143" s="3">
        <v>45670</v>
      </c>
      <c r="AK143" s="5">
        <f>AL143-AH143</f>
        <v>5.58</v>
      </c>
      <c r="AL143" s="5">
        <v>6.3070000000000004</v>
      </c>
      <c r="AM143" s="1">
        <v>1</v>
      </c>
      <c r="AN143" s="3">
        <f>V143+1</f>
        <v>45686</v>
      </c>
      <c r="AO143" s="1">
        <v>5.4080000000000004</v>
      </c>
      <c r="AP143" s="8">
        <v>2</v>
      </c>
      <c r="AQ143" s="3">
        <f>X143+1</f>
        <v>45692</v>
      </c>
      <c r="AR143" s="5">
        <f>AO143-AH143</f>
        <v>4.681</v>
      </c>
      <c r="AS143" s="1">
        <v>12</v>
      </c>
      <c r="AT143" s="1">
        <v>16</v>
      </c>
      <c r="AU143" s="1">
        <v>45</v>
      </c>
      <c r="AV143" s="1">
        <f t="shared" si="80"/>
        <v>73</v>
      </c>
      <c r="AW143" s="1">
        <v>50</v>
      </c>
      <c r="AX143" s="1">
        <v>170</v>
      </c>
      <c r="AY143" s="1">
        <v>239</v>
      </c>
      <c r="AZ143" s="1">
        <f t="shared" si="87"/>
        <v>459</v>
      </c>
      <c r="BA143" s="1">
        <v>91</v>
      </c>
      <c r="BB143" s="1">
        <v>10</v>
      </c>
      <c r="BC143" s="1">
        <v>0</v>
      </c>
      <c r="BD143" s="1">
        <v>0</v>
      </c>
      <c r="BE143" s="1" t="s">
        <v>12</v>
      </c>
      <c r="BF143" s="1" t="s">
        <v>12</v>
      </c>
      <c r="BG143" s="1" t="s">
        <v>12</v>
      </c>
      <c r="BH143" s="1" t="s">
        <v>12</v>
      </c>
      <c r="BI143" s="1">
        <f>BA143+BB143+BC143+BD143</f>
        <v>101</v>
      </c>
      <c r="BJ143" s="1">
        <f>AV143+AZ143+BI143</f>
        <v>633</v>
      </c>
      <c r="BK143" s="3">
        <v>45698</v>
      </c>
      <c r="BL143" s="6" t="s">
        <v>104</v>
      </c>
      <c r="BM143" s="6"/>
      <c r="BN143" s="6" t="s">
        <v>218</v>
      </c>
      <c r="BO143" s="13">
        <v>55.25</v>
      </c>
      <c r="BP143" s="13">
        <v>4.3499999999999996</v>
      </c>
      <c r="BQ143" s="1">
        <v>1</v>
      </c>
      <c r="BR143" s="1">
        <v>0</v>
      </c>
      <c r="BS143" s="1">
        <f>BQ143+BR143</f>
        <v>1</v>
      </c>
      <c r="BT143" s="1">
        <v>4</v>
      </c>
      <c r="BU143" s="1">
        <v>0</v>
      </c>
      <c r="BV143" s="1">
        <f>BT143+BU143</f>
        <v>4</v>
      </c>
      <c r="BW143" s="1">
        <v>8</v>
      </c>
      <c r="BX143" s="1">
        <v>0</v>
      </c>
      <c r="BY143" s="1">
        <f>BW143+BX143</f>
        <v>8</v>
      </c>
      <c r="BZ143" s="1">
        <v>3</v>
      </c>
      <c r="CA143" s="1">
        <v>1</v>
      </c>
      <c r="CB143" s="1">
        <f>BZ143+CA143</f>
        <v>4</v>
      </c>
      <c r="CC143" s="1">
        <f>BS143+BV143+BY143+CB143</f>
        <v>17</v>
      </c>
      <c r="CE143" s="7">
        <f>CC143+CD143</f>
        <v>17</v>
      </c>
      <c r="CF143" s="8">
        <v>0</v>
      </c>
      <c r="CG143" s="8">
        <v>1</v>
      </c>
      <c r="CH143" s="8">
        <v>10</v>
      </c>
      <c r="CI143" s="8">
        <v>3</v>
      </c>
      <c r="CJ143" s="8">
        <v>0</v>
      </c>
      <c r="CK143" s="8">
        <v>0</v>
      </c>
      <c r="CL143" s="8">
        <v>0</v>
      </c>
      <c r="CM143" s="8">
        <v>0</v>
      </c>
      <c r="CN143" s="1">
        <f>CF143+CG143+CH143+CI143+CJ143+CK143+CL143+CM143</f>
        <v>14</v>
      </c>
      <c r="CO143" s="1">
        <f>CN143/CE143</f>
        <v>0.82352941176470584</v>
      </c>
      <c r="CP143" s="8">
        <v>3.2050000000000001</v>
      </c>
      <c r="CQ143" s="8">
        <v>5</v>
      </c>
      <c r="CR143" s="1">
        <f>CP143/CQ143</f>
        <v>0.64100000000000001</v>
      </c>
      <c r="CS143" s="1">
        <v>2.9990000000000001</v>
      </c>
      <c r="CT143" s="8">
        <v>3</v>
      </c>
      <c r="CU143" s="1">
        <f>CS143/CT143</f>
        <v>0.9996666666666667</v>
      </c>
    </row>
    <row r="144" spans="1:99" x14ac:dyDescent="0.25">
      <c r="A144" s="1">
        <v>144</v>
      </c>
      <c r="B144" s="1">
        <v>142</v>
      </c>
      <c r="C144" s="2" t="s">
        <v>154</v>
      </c>
      <c r="D144" s="3" t="s">
        <v>10</v>
      </c>
      <c r="E144" s="1" t="str">
        <f>D144</f>
        <v>m</v>
      </c>
      <c r="F144" s="1" t="str">
        <f t="shared" si="84"/>
        <v>A</v>
      </c>
      <c r="G144" s="1" t="str">
        <f t="shared" si="85"/>
        <v>B</v>
      </c>
      <c r="H144" s="1">
        <v>1</v>
      </c>
      <c r="I144" s="1">
        <v>0</v>
      </c>
      <c r="J144" s="8" t="s">
        <v>278</v>
      </c>
      <c r="K144" s="8">
        <v>6</v>
      </c>
      <c r="L144" s="8">
        <v>3</v>
      </c>
      <c r="M144" s="8">
        <v>26.2</v>
      </c>
      <c r="N144" s="8">
        <v>15.2</v>
      </c>
      <c r="O144" s="8">
        <v>1</v>
      </c>
      <c r="P144" s="1" t="s">
        <v>8</v>
      </c>
      <c r="Q144" s="3">
        <v>45665</v>
      </c>
      <c r="R144" s="3">
        <v>45666</v>
      </c>
      <c r="S144" s="3">
        <v>45656</v>
      </c>
      <c r="T144" s="3">
        <v>45657</v>
      </c>
      <c r="U144" s="1">
        <f t="shared" si="86"/>
        <v>9</v>
      </c>
      <c r="V144" s="3">
        <v>45684</v>
      </c>
      <c r="W144" s="1">
        <f>_xlfn.DAYS(V144,R144)</f>
        <v>18</v>
      </c>
      <c r="X144" s="3">
        <v>45690</v>
      </c>
      <c r="Y144" s="1">
        <f>_xlfn.DAYS(X144,R144)</f>
        <v>24</v>
      </c>
      <c r="AB144" s="3">
        <v>45699</v>
      </c>
      <c r="AD144" s="11" t="s">
        <v>86</v>
      </c>
      <c r="AE144" s="11">
        <v>45697</v>
      </c>
      <c r="AF144" s="1">
        <f t="shared" si="83"/>
        <v>31</v>
      </c>
      <c r="AG144" s="8">
        <v>0</v>
      </c>
      <c r="AH144" s="5">
        <v>0.61199999999999999</v>
      </c>
      <c r="AI144" s="1">
        <v>1</v>
      </c>
      <c r="AJ144" s="3">
        <v>45670</v>
      </c>
      <c r="AK144" s="5">
        <f>AL144-AH144</f>
        <v>6.3280000000000003</v>
      </c>
      <c r="AL144" s="5">
        <v>6.94</v>
      </c>
      <c r="AM144" s="1">
        <v>1</v>
      </c>
      <c r="AN144" s="3">
        <f>V144+1</f>
        <v>45685</v>
      </c>
      <c r="AO144" s="1">
        <v>6.2519999999999998</v>
      </c>
      <c r="AP144" s="8">
        <v>2</v>
      </c>
      <c r="AQ144" s="3">
        <f>X144+1</f>
        <v>45691</v>
      </c>
      <c r="AR144" s="5">
        <f>AO144-AH144</f>
        <v>5.64</v>
      </c>
      <c r="AS144" s="1">
        <v>11</v>
      </c>
      <c r="AT144" s="1">
        <v>18</v>
      </c>
      <c r="AU144" s="1">
        <v>86</v>
      </c>
      <c r="AV144" s="1">
        <f t="shared" si="80"/>
        <v>115</v>
      </c>
      <c r="AW144" s="1">
        <v>33</v>
      </c>
      <c r="AX144" s="1">
        <v>181</v>
      </c>
      <c r="AY144" s="1">
        <v>255</v>
      </c>
      <c r="AZ144" s="1">
        <f t="shared" si="87"/>
        <v>469</v>
      </c>
      <c r="BA144" s="1">
        <v>86</v>
      </c>
      <c r="BB144" s="1">
        <v>0</v>
      </c>
      <c r="BC144" s="1">
        <v>0</v>
      </c>
      <c r="BD144" s="1" t="s">
        <v>12</v>
      </c>
      <c r="BE144" s="1" t="s">
        <v>12</v>
      </c>
      <c r="BF144" s="1" t="s">
        <v>12</v>
      </c>
      <c r="BG144" s="1" t="s">
        <v>12</v>
      </c>
      <c r="BH144" s="1" t="s">
        <v>12</v>
      </c>
      <c r="BI144" s="1">
        <f>BA144+BB144+BC144</f>
        <v>86</v>
      </c>
      <c r="BJ144" s="1">
        <f>AV144+AZ144+BI144</f>
        <v>670</v>
      </c>
      <c r="BK144" s="3" t="s">
        <v>12</v>
      </c>
      <c r="BL144" s="10" t="s">
        <v>12</v>
      </c>
      <c r="BM144" s="10" t="s">
        <v>12</v>
      </c>
      <c r="BN144" s="14" t="s">
        <v>12</v>
      </c>
      <c r="BO144" s="13" t="s">
        <v>12</v>
      </c>
      <c r="BP144" s="13" t="s">
        <v>12</v>
      </c>
      <c r="BQ144" s="13" t="s">
        <v>12</v>
      </c>
      <c r="BR144" s="13" t="s">
        <v>12</v>
      </c>
      <c r="BS144" s="13" t="s">
        <v>12</v>
      </c>
      <c r="BT144" s="13" t="s">
        <v>12</v>
      </c>
      <c r="BU144" s="13" t="s">
        <v>12</v>
      </c>
      <c r="BV144" s="13" t="s">
        <v>12</v>
      </c>
      <c r="BW144" s="13" t="s">
        <v>12</v>
      </c>
      <c r="BX144" s="13" t="s">
        <v>12</v>
      </c>
      <c r="BY144" s="13" t="s">
        <v>12</v>
      </c>
      <c r="BZ144" s="13" t="s">
        <v>12</v>
      </c>
      <c r="CA144" s="13" t="s">
        <v>12</v>
      </c>
      <c r="CB144" s="13" t="s">
        <v>12</v>
      </c>
      <c r="CC144" s="13" t="s">
        <v>12</v>
      </c>
      <c r="CD144" s="13"/>
      <c r="CE144" s="13" t="s">
        <v>12</v>
      </c>
      <c r="CF144" s="13" t="s">
        <v>12</v>
      </c>
      <c r="CG144" s="13" t="s">
        <v>12</v>
      </c>
      <c r="CH144" s="13" t="s">
        <v>12</v>
      </c>
      <c r="CI144" s="13" t="s">
        <v>12</v>
      </c>
      <c r="CJ144" s="13" t="s">
        <v>12</v>
      </c>
      <c r="CK144" s="13" t="s">
        <v>12</v>
      </c>
      <c r="CL144" s="13" t="s">
        <v>12</v>
      </c>
      <c r="CM144" s="13" t="s">
        <v>12</v>
      </c>
      <c r="CN144" s="13" t="s">
        <v>12</v>
      </c>
      <c r="CO144" s="13" t="s">
        <v>12</v>
      </c>
    </row>
    <row r="145" spans="1:93" x14ac:dyDescent="0.25">
      <c r="A145" s="1">
        <v>145</v>
      </c>
      <c r="B145" s="1">
        <v>143</v>
      </c>
      <c r="C145" s="2" t="s">
        <v>155</v>
      </c>
      <c r="D145" s="1" t="s">
        <v>280</v>
      </c>
      <c r="E145" s="1" t="s">
        <v>12</v>
      </c>
      <c r="F145" s="1" t="str">
        <f t="shared" si="84"/>
        <v>I</v>
      </c>
      <c r="G145" s="1" t="str">
        <f t="shared" si="85"/>
        <v>C</v>
      </c>
      <c r="H145" s="1">
        <v>0</v>
      </c>
      <c r="I145" s="1">
        <v>1</v>
      </c>
      <c r="J145" s="8" t="s">
        <v>278</v>
      </c>
      <c r="K145" s="8">
        <v>6</v>
      </c>
      <c r="L145" s="8">
        <v>3</v>
      </c>
      <c r="M145" s="8">
        <v>26.2</v>
      </c>
      <c r="N145" s="8">
        <v>14.2</v>
      </c>
      <c r="O145" s="8"/>
      <c r="P145" s="1" t="s">
        <v>8</v>
      </c>
      <c r="Q145" s="3">
        <v>45665</v>
      </c>
      <c r="R145" s="3">
        <v>45666</v>
      </c>
      <c r="S145" s="3">
        <v>45656</v>
      </c>
      <c r="T145" s="3">
        <v>45657</v>
      </c>
      <c r="U145" s="1">
        <f t="shared" si="86"/>
        <v>9</v>
      </c>
      <c r="V145" s="3">
        <v>45686</v>
      </c>
      <c r="W145" s="1">
        <f>_xlfn.DAYS(V145,R145)</f>
        <v>20</v>
      </c>
      <c r="X145" s="1" t="s">
        <v>12</v>
      </c>
      <c r="Y145" s="1" t="s">
        <v>12</v>
      </c>
      <c r="AA145" s="3">
        <v>45692</v>
      </c>
      <c r="AD145" s="11"/>
      <c r="AE145" s="11">
        <f>AA145</f>
        <v>45692</v>
      </c>
      <c r="AF145" s="1">
        <f t="shared" si="83"/>
        <v>26</v>
      </c>
      <c r="AG145" s="1">
        <v>1</v>
      </c>
      <c r="AH145" s="5">
        <v>0.48</v>
      </c>
      <c r="AI145" s="1">
        <v>1</v>
      </c>
      <c r="AJ145" s="3">
        <v>45670</v>
      </c>
      <c r="AK145" s="5">
        <f>AL145-AH145</f>
        <v>7.5879999999999992</v>
      </c>
      <c r="AL145" s="5">
        <v>8.0679999999999996</v>
      </c>
      <c r="AM145" s="1">
        <v>2</v>
      </c>
      <c r="AN145" s="3">
        <f>V145+1</f>
        <v>45687</v>
      </c>
      <c r="AO145" s="1" t="s">
        <v>12</v>
      </c>
      <c r="AP145" s="5" t="s">
        <v>12</v>
      </c>
      <c r="AQ145" s="3" t="s">
        <v>12</v>
      </c>
      <c r="AR145" s="1" t="s">
        <v>12</v>
      </c>
      <c r="AS145" s="1">
        <v>11</v>
      </c>
      <c r="AT145" s="1">
        <v>17</v>
      </c>
      <c r="AU145" s="1">
        <v>36</v>
      </c>
      <c r="AV145" s="1">
        <f t="shared" si="80"/>
        <v>64</v>
      </c>
      <c r="AW145" s="1">
        <v>77</v>
      </c>
      <c r="AX145" s="1">
        <v>60</v>
      </c>
      <c r="AY145" s="1">
        <v>170</v>
      </c>
      <c r="AZ145" s="1">
        <f t="shared" si="87"/>
        <v>307</v>
      </c>
      <c r="BA145" s="1">
        <v>267</v>
      </c>
      <c r="BB145" s="1">
        <v>14</v>
      </c>
      <c r="BC145" s="1">
        <v>0</v>
      </c>
      <c r="BD145" s="1">
        <v>0</v>
      </c>
      <c r="BE145" s="1" t="s">
        <v>12</v>
      </c>
      <c r="BF145" s="1" t="s">
        <v>12</v>
      </c>
      <c r="BG145" s="1" t="s">
        <v>12</v>
      </c>
      <c r="BH145" s="1" t="s">
        <v>12</v>
      </c>
      <c r="BI145" s="1">
        <f>BA145+BB145+BC145+BD145</f>
        <v>281</v>
      </c>
      <c r="BJ145" s="1">
        <f>AV145+AZ145+BI145</f>
        <v>652</v>
      </c>
      <c r="BK145" s="3" t="s">
        <v>12</v>
      </c>
      <c r="BL145" s="10" t="s">
        <v>12</v>
      </c>
      <c r="BM145" s="10" t="s">
        <v>12</v>
      </c>
      <c r="BN145" s="14" t="s">
        <v>12</v>
      </c>
      <c r="BO145" s="13" t="s">
        <v>12</v>
      </c>
      <c r="BP145" s="13" t="s">
        <v>12</v>
      </c>
      <c r="BQ145" s="13" t="s">
        <v>12</v>
      </c>
      <c r="BR145" s="13" t="s">
        <v>12</v>
      </c>
      <c r="BS145" s="13" t="s">
        <v>12</v>
      </c>
      <c r="BT145" s="13" t="s">
        <v>12</v>
      </c>
      <c r="BU145" s="13" t="s">
        <v>12</v>
      </c>
      <c r="BV145" s="13" t="s">
        <v>12</v>
      </c>
      <c r="BW145" s="13" t="s">
        <v>12</v>
      </c>
      <c r="BX145" s="13" t="s">
        <v>12</v>
      </c>
      <c r="BY145" s="13" t="s">
        <v>12</v>
      </c>
      <c r="BZ145" s="13" t="s">
        <v>12</v>
      </c>
      <c r="CA145" s="13" t="s">
        <v>12</v>
      </c>
      <c r="CB145" s="13" t="s">
        <v>12</v>
      </c>
      <c r="CC145" s="13" t="s">
        <v>12</v>
      </c>
      <c r="CD145" s="13"/>
      <c r="CE145" s="13" t="s">
        <v>12</v>
      </c>
      <c r="CF145" s="13" t="s">
        <v>12</v>
      </c>
      <c r="CG145" s="13" t="s">
        <v>12</v>
      </c>
      <c r="CH145" s="13" t="s">
        <v>12</v>
      </c>
      <c r="CI145" s="13" t="s">
        <v>12</v>
      </c>
      <c r="CJ145" s="13" t="s">
        <v>12</v>
      </c>
      <c r="CK145" s="13" t="s">
        <v>12</v>
      </c>
      <c r="CL145" s="13" t="s">
        <v>12</v>
      </c>
      <c r="CM145" s="13" t="s">
        <v>12</v>
      </c>
      <c r="CN145" s="13" t="s">
        <v>12</v>
      </c>
      <c r="CO145" s="13" t="s">
        <v>12</v>
      </c>
    </row>
    <row r="146" spans="1:93" x14ac:dyDescent="0.25">
      <c r="AJ146" s="3"/>
      <c r="BL146" s="1"/>
      <c r="BM146" s="20"/>
      <c r="BN146" s="20"/>
    </row>
    <row r="147" spans="1:93" x14ac:dyDescent="0.25">
      <c r="BL147" s="1"/>
      <c r="BM147" s="20"/>
      <c r="BN147" s="20"/>
    </row>
    <row r="148" spans="1:93" x14ac:dyDescent="0.25">
      <c r="BL148" s="1"/>
      <c r="BM148" s="20"/>
      <c r="BN148" s="20"/>
    </row>
    <row r="149" spans="1:93" x14ac:dyDescent="0.25">
      <c r="BL149" s="1"/>
      <c r="BM149" s="20"/>
      <c r="BN149" s="20"/>
    </row>
    <row r="150" spans="1:93" x14ac:dyDescent="0.25">
      <c r="BL150" s="1"/>
      <c r="BM150" s="20"/>
      <c r="BN150" s="20"/>
    </row>
    <row r="151" spans="1:93" x14ac:dyDescent="0.25">
      <c r="BL151" s="1"/>
      <c r="BM151" s="20"/>
      <c r="BN151" s="20"/>
    </row>
    <row r="152" spans="1:93" x14ac:dyDescent="0.25">
      <c r="BL152" s="1"/>
      <c r="BM152" s="20"/>
      <c r="BN152" s="20"/>
    </row>
    <row r="153" spans="1:93" x14ac:dyDescent="0.25">
      <c r="BL153" s="1"/>
      <c r="BM153" s="20"/>
      <c r="BN153" s="20"/>
    </row>
    <row r="154" spans="1:93" x14ac:dyDescent="0.25">
      <c r="BL154" s="1"/>
      <c r="BM154" s="20"/>
      <c r="BN154" s="20"/>
    </row>
    <row r="155" spans="1:93" x14ac:dyDescent="0.25">
      <c r="BL155" s="1"/>
      <c r="BM155" s="20"/>
      <c r="BN155" s="20"/>
    </row>
    <row r="156" spans="1:93" x14ac:dyDescent="0.25">
      <c r="BL156" s="1"/>
      <c r="BM156" s="20"/>
      <c r="BN156" s="20"/>
    </row>
    <row r="157" spans="1:93" x14ac:dyDescent="0.25">
      <c r="BL157" s="1"/>
      <c r="BM157" s="20"/>
      <c r="BN157" s="20"/>
    </row>
    <row r="158" spans="1:93" x14ac:dyDescent="0.25">
      <c r="BL158" s="1"/>
      <c r="BM158" s="20"/>
      <c r="BN158" s="20"/>
    </row>
  </sheetData>
  <autoFilter ref="A1:CU145" xr:uid="{AF6FD562-2D49-4B86-AF9C-BCAAB24E6DD9}">
    <sortState xmlns:xlrd2="http://schemas.microsoft.com/office/spreadsheetml/2017/richdata2" ref="A2:CU145">
      <sortCondition ref="B1:B145"/>
    </sortState>
  </autoFilter>
  <phoneticPr fontId="2" type="noConversion"/>
  <pageMargins left="0.7" right="0.7" top="0.78740157500000008" bottom="0.78740157500000008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Niklas Bozorovic</dc:creator>
  <cp:lastModifiedBy>Lang, Sandra Regina</cp:lastModifiedBy>
  <cp:revision>1</cp:revision>
  <cp:lastPrinted>2025-02-06T09:35:07Z</cp:lastPrinted>
  <dcterms:created xsi:type="dcterms:W3CDTF">2025-01-07T08:19:51Z</dcterms:created>
  <dcterms:modified xsi:type="dcterms:W3CDTF">2026-05-29T09:12:16Z</dcterms:modified>
</cp:coreProperties>
</file>